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zakeri\My Drive\Job\IIASA\Projects\ECEMF\WP1\Storage survey\storage-iam-paper\data\survey\"/>
    </mc:Choice>
  </mc:AlternateContent>
  <xr:revisionPtr revIDLastSave="0" documentId="13_ncr:1_{6B097E63-4CA6-4CFF-A3A3-5564705889EE}" xr6:coauthVersionLast="47" xr6:coauthVersionMax="47" xr10:uidLastSave="{00000000-0000-0000-0000-000000000000}"/>
  <bookViews>
    <workbookView xWindow="-108" yWindow="-108" windowWidth="23256" windowHeight="12576" activeTab="2" xr2:uid="{00000000-000D-0000-FFFF-FFFF00000000}"/>
  </bookViews>
  <sheets>
    <sheet name="survey" sheetId="1" r:id="rId1"/>
    <sheet name="summary" sheetId="3" r:id="rId2"/>
    <sheet name="SRF-detailed" sheetId="13" r:id="rId3"/>
    <sheet name="SRF-total" sheetId="12" r:id="rId4"/>
    <sheet name="Figure-2" sheetId="15" r:id="rId5"/>
    <sheet name="Figure-3" sheetId="17" r:id="rId6"/>
    <sheet name="Sheet2" sheetId="18" r:id="rId7"/>
  </sheets>
  <definedNames>
    <definedName name="_xlnm._FilterDatabase" localSheetId="1" hidden="1">summary!$A$1:$Q$56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9" i="13" l="1"/>
  <c r="L99" i="13"/>
  <c r="I2" i="12" s="1"/>
  <c r="H2" i="12"/>
  <c r="J99" i="13"/>
  <c r="G2" i="12" s="1"/>
  <c r="I99" i="13"/>
  <c r="H99" i="13"/>
  <c r="G99" i="13"/>
  <c r="D2" i="12" s="1"/>
  <c r="F99" i="13"/>
  <c r="C2" i="12" s="1"/>
  <c r="E99" i="13"/>
  <c r="K16" i="17"/>
  <c r="J16" i="17"/>
  <c r="I16" i="17"/>
  <c r="H16" i="17"/>
  <c r="H17" i="17" s="1"/>
  <c r="G16" i="17"/>
  <c r="F16" i="17"/>
  <c r="E16" i="17"/>
  <c r="D16" i="17"/>
  <c r="D17" i="17" s="1"/>
  <c r="C16" i="17"/>
  <c r="K15" i="17"/>
  <c r="J15" i="17"/>
  <c r="I15" i="17"/>
  <c r="I17" i="17" s="1"/>
  <c r="H15" i="17"/>
  <c r="G15" i="17"/>
  <c r="F15" i="17"/>
  <c r="E15" i="17"/>
  <c r="E17" i="17" s="1"/>
  <c r="D15" i="17"/>
  <c r="C15" i="17"/>
  <c r="K13" i="17"/>
  <c r="J13" i="17"/>
  <c r="I13" i="17"/>
  <c r="H13" i="17"/>
  <c r="G13" i="17"/>
  <c r="F13" i="17"/>
  <c r="E13" i="17"/>
  <c r="D13" i="17"/>
  <c r="D14" i="17" s="1"/>
  <c r="C13" i="17"/>
  <c r="K12" i="17"/>
  <c r="J12" i="17"/>
  <c r="I12" i="17"/>
  <c r="H12" i="17"/>
  <c r="G12" i="17"/>
  <c r="F12" i="17"/>
  <c r="E12" i="17"/>
  <c r="D12" i="17"/>
  <c r="C12" i="17"/>
  <c r="K10" i="17"/>
  <c r="J10" i="17"/>
  <c r="I10" i="17"/>
  <c r="G10" i="17"/>
  <c r="F10" i="17"/>
  <c r="E10" i="17"/>
  <c r="D10" i="17"/>
  <c r="D11" i="17" s="1"/>
  <c r="C10" i="17"/>
  <c r="K9" i="17"/>
  <c r="J9" i="17"/>
  <c r="I9" i="17"/>
  <c r="I11" i="17" s="1"/>
  <c r="G9" i="17"/>
  <c r="F9" i="17"/>
  <c r="E9" i="17"/>
  <c r="E11" i="17" s="1"/>
  <c r="D9" i="17"/>
  <c r="C9" i="17"/>
  <c r="K8" i="17"/>
  <c r="J8" i="17"/>
  <c r="J11" i="17" s="1"/>
  <c r="I8" i="17"/>
  <c r="H8" i="17"/>
  <c r="G8" i="17"/>
  <c r="F8" i="17"/>
  <c r="F11" i="17" s="1"/>
  <c r="E8" i="17"/>
  <c r="D8" i="17"/>
  <c r="C8" i="17"/>
  <c r="K7" i="17"/>
  <c r="J7" i="17"/>
  <c r="I7" i="17"/>
  <c r="H7" i="17"/>
  <c r="G7" i="17"/>
  <c r="F7" i="17"/>
  <c r="E7" i="17"/>
  <c r="D7" i="17"/>
  <c r="C7" i="17"/>
  <c r="C6" i="17"/>
  <c r="K5" i="17"/>
  <c r="J5" i="17"/>
  <c r="I5" i="17"/>
  <c r="G5" i="17"/>
  <c r="F5" i="17"/>
  <c r="E5" i="17"/>
  <c r="D5" i="17"/>
  <c r="D6" i="17" s="1"/>
  <c r="C5" i="17"/>
  <c r="K4" i="17"/>
  <c r="J4" i="17"/>
  <c r="I4" i="17"/>
  <c r="I6" i="17" s="1"/>
  <c r="H4" i="17"/>
  <c r="G4" i="17"/>
  <c r="F4" i="17"/>
  <c r="E4" i="17"/>
  <c r="D4" i="17"/>
  <c r="C4" i="17"/>
  <c r="K3" i="17"/>
  <c r="J3" i="17"/>
  <c r="I3" i="17"/>
  <c r="G3" i="17"/>
  <c r="F3" i="17"/>
  <c r="E3" i="17"/>
  <c r="D3" i="17"/>
  <c r="C3" i="17"/>
  <c r="K2" i="17"/>
  <c r="K6" i="17" s="1"/>
  <c r="J2" i="17"/>
  <c r="I2" i="17"/>
  <c r="G2" i="17"/>
  <c r="G6" i="17" s="1"/>
  <c r="F2" i="17"/>
  <c r="E2" i="17"/>
  <c r="D2" i="17"/>
  <c r="C2" i="17"/>
  <c r="J5" i="12"/>
  <c r="J4" i="12"/>
  <c r="J3" i="12"/>
  <c r="J2" i="12"/>
  <c r="E2" i="12"/>
  <c r="F2" i="12"/>
  <c r="C3" i="12"/>
  <c r="D3" i="12"/>
  <c r="E3" i="12"/>
  <c r="F3" i="12"/>
  <c r="H3" i="12"/>
  <c r="I3" i="12"/>
  <c r="C4" i="12"/>
  <c r="D4" i="12"/>
  <c r="E4" i="12"/>
  <c r="F4" i="12"/>
  <c r="H4" i="12"/>
  <c r="I4" i="12"/>
  <c r="C5" i="12"/>
  <c r="D5" i="12"/>
  <c r="E5" i="12"/>
  <c r="F5" i="12"/>
  <c r="G5" i="12"/>
  <c r="H5" i="12"/>
  <c r="I5" i="12"/>
  <c r="B5" i="12"/>
  <c r="B4" i="12"/>
  <c r="B3" i="12"/>
  <c r="B2" i="12"/>
  <c r="M184" i="13"/>
  <c r="L184" i="13"/>
  <c r="K184" i="13"/>
  <c r="J184" i="13"/>
  <c r="I184" i="13"/>
  <c r="H184" i="13"/>
  <c r="G184" i="13"/>
  <c r="F184" i="13"/>
  <c r="E184" i="13"/>
  <c r="M183" i="13"/>
  <c r="L183" i="13"/>
  <c r="K183" i="13"/>
  <c r="J183" i="13"/>
  <c r="I183" i="13"/>
  <c r="H183" i="13"/>
  <c r="G183" i="13"/>
  <c r="F183" i="13"/>
  <c r="E183" i="13"/>
  <c r="M181" i="13"/>
  <c r="K181" i="13"/>
  <c r="J181" i="13"/>
  <c r="G181" i="13"/>
  <c r="E181" i="13"/>
  <c r="M180" i="13"/>
  <c r="L180" i="13"/>
  <c r="K180" i="13"/>
  <c r="J180" i="13"/>
  <c r="I180" i="13"/>
  <c r="H180" i="13"/>
  <c r="G180" i="13"/>
  <c r="F180" i="13"/>
  <c r="E180" i="13"/>
  <c r="M178" i="13"/>
  <c r="L178" i="13"/>
  <c r="K178" i="13"/>
  <c r="J178" i="13"/>
  <c r="H10" i="17" s="1"/>
  <c r="I178" i="13"/>
  <c r="H178" i="13"/>
  <c r="G178" i="13"/>
  <c r="F178" i="13"/>
  <c r="E178" i="13"/>
  <c r="M177" i="13"/>
  <c r="L177" i="13"/>
  <c r="K177" i="13"/>
  <c r="J177" i="13"/>
  <c r="H9" i="17" s="1"/>
  <c r="I177" i="13"/>
  <c r="H177" i="13"/>
  <c r="G177" i="13"/>
  <c r="F177" i="13"/>
  <c r="E177" i="13"/>
  <c r="M176" i="13"/>
  <c r="L176" i="13"/>
  <c r="K176" i="13"/>
  <c r="J176" i="13"/>
  <c r="I176" i="13"/>
  <c r="H176" i="13"/>
  <c r="G176" i="13"/>
  <c r="F176" i="13"/>
  <c r="E176" i="13"/>
  <c r="M175" i="13"/>
  <c r="L175" i="13"/>
  <c r="K175" i="13"/>
  <c r="J175" i="13"/>
  <c r="I175" i="13"/>
  <c r="H175" i="13"/>
  <c r="G175" i="13"/>
  <c r="F175" i="13"/>
  <c r="E175" i="13"/>
  <c r="M173" i="13"/>
  <c r="L173" i="13"/>
  <c r="K173" i="13"/>
  <c r="J173" i="13"/>
  <c r="H5" i="17" s="1"/>
  <c r="I173" i="13"/>
  <c r="H173" i="13"/>
  <c r="G173" i="13"/>
  <c r="F173" i="13"/>
  <c r="E173" i="13"/>
  <c r="M172" i="13"/>
  <c r="L172" i="13"/>
  <c r="K172" i="13"/>
  <c r="J172" i="13"/>
  <c r="I172" i="13"/>
  <c r="H172" i="13"/>
  <c r="G172" i="13"/>
  <c r="F172" i="13"/>
  <c r="E172" i="13"/>
  <c r="L171" i="13"/>
  <c r="J171" i="13"/>
  <c r="H3" i="17" s="1"/>
  <c r="I171" i="13"/>
  <c r="H171" i="13"/>
  <c r="G171" i="13"/>
  <c r="F171" i="13"/>
  <c r="E171" i="13"/>
  <c r="M170" i="13"/>
  <c r="L170" i="13"/>
  <c r="J170" i="13"/>
  <c r="H2" i="17" s="1"/>
  <c r="I170" i="13"/>
  <c r="H170" i="13"/>
  <c r="G170" i="13"/>
  <c r="F170" i="13"/>
  <c r="E170" i="13"/>
  <c r="B170" i="13"/>
  <c r="M167" i="13"/>
  <c r="L167" i="13"/>
  <c r="K167" i="13"/>
  <c r="J167" i="13"/>
  <c r="I167" i="13"/>
  <c r="H167" i="13"/>
  <c r="G167" i="13"/>
  <c r="F167" i="13"/>
  <c r="E167" i="13"/>
  <c r="M161" i="13"/>
  <c r="L161" i="13"/>
  <c r="K161" i="13"/>
  <c r="J161" i="13"/>
  <c r="G4" i="12" s="1"/>
  <c r="I161" i="13"/>
  <c r="H161" i="13"/>
  <c r="G161" i="13"/>
  <c r="F161" i="13"/>
  <c r="E161" i="13"/>
  <c r="M155" i="13"/>
  <c r="L155" i="13"/>
  <c r="K155" i="13"/>
  <c r="J155" i="13"/>
  <c r="G3" i="12" s="1"/>
  <c r="I155" i="13"/>
  <c r="H155" i="13"/>
  <c r="G155" i="13"/>
  <c r="F155" i="13"/>
  <c r="E155" i="13"/>
  <c r="M34" i="13"/>
  <c r="M171" i="13" s="1"/>
  <c r="M18" i="13"/>
  <c r="K17" i="17"/>
  <c r="J17" i="17"/>
  <c r="F17" i="17"/>
  <c r="K14" i="17"/>
  <c r="J14" i="17"/>
  <c r="I14" i="17"/>
  <c r="G14" i="17"/>
  <c r="F14" i="17"/>
  <c r="E14" i="17"/>
  <c r="K11" i="17"/>
  <c r="G11" i="17"/>
  <c r="J6" i="17"/>
  <c r="E6" i="17"/>
  <c r="K16" i="15"/>
  <c r="K15" i="15"/>
  <c r="K14" i="15"/>
  <c r="K13" i="15"/>
  <c r="K12" i="15"/>
  <c r="K11" i="15"/>
  <c r="K10" i="15"/>
  <c r="K9" i="15"/>
  <c r="K8" i="15"/>
  <c r="K7" i="15"/>
  <c r="K6" i="15"/>
  <c r="K5" i="15"/>
  <c r="K4" i="15"/>
  <c r="K3" i="15"/>
  <c r="K2" i="15"/>
  <c r="H14" i="17" l="1"/>
  <c r="H11" i="17"/>
  <c r="H6" i="17"/>
  <c r="C14" i="17"/>
  <c r="C11" i="17"/>
  <c r="F6" i="17"/>
  <c r="G17" i="17"/>
  <c r="C17" i="17"/>
</calcChain>
</file>

<file path=xl/sharedStrings.xml><?xml version="1.0" encoding="utf-8"?>
<sst xmlns="http://schemas.openxmlformats.org/spreadsheetml/2006/main" count="2626" uniqueCount="565">
  <si>
    <t>ID</t>
  </si>
  <si>
    <t>Start time</t>
  </si>
  <si>
    <t>Completion time</t>
  </si>
  <si>
    <t>Email</t>
  </si>
  <si>
    <t>Name</t>
  </si>
  <si>
    <t>Last modified time</t>
  </si>
  <si>
    <t>Your full name (Firstname Lastname):</t>
  </si>
  <si>
    <t>Your email address (will be used only if follow-up clarifications would be needed):</t>
  </si>
  <si>
    <t>Your organization:</t>
  </si>
  <si>
    <t>For the model/scenarios of which work package (WP), are you filling out this survey?</t>
  </si>
  <si>
    <t>The name of the modeling tool for which you fill out the survey:</t>
  </si>
  <si>
    <t>What is the main category of the model?</t>
  </si>
  <si>
    <t>What option describes your modeling approach best?</t>
  </si>
  <si>
    <t>What geographical scope presents your model best?</t>
  </si>
  <si>
    <t>What is the spatial resolution of your model concerning the EU region?</t>
  </si>
  <si>
    <t>What level(s) of the electricity network is represented in your model?</t>
  </si>
  <si>
    <t>How are cross-border transmission lines between EU countries represented in your model?</t>
  </si>
  <si>
    <t>How the planning foresight is treated in your model:</t>
  </si>
  <si>
    <t>What time intervals are considered in the model horizon? (Please tick all that apply)</t>
  </si>
  <si>
    <t>What planning/modeling horizon is used in your analysis?</t>
  </si>
  <si>
    <t>How is the sub-annual temporal resolution represented in your model?</t>
  </si>
  <si>
    <t>If you answered "Representative time slices" or "Other", please explain. For example, the method of sampling/clustering and/or the length of time slices.</t>
  </si>
  <si>
    <t>Is the chronology of (sub-annual) time slices preserved in your modeling work?</t>
  </si>
  <si>
    <t>Is the joint variability of supply and demand resources in each sub-annual time slice captured in your model? This means, e.g., the timeseries of wind, solar PV, and demand are all concurrent with...</t>
  </si>
  <si>
    <t>How are short-term operational events represented in your model? Short-term decisions are in the scale of hours to a few days including generator scheduling, ramping rates, flexibility requirement...</t>
  </si>
  <si>
    <t>If short-term decisions are not represented explicitly in your model, how is the relevant parametrization done? Check all relevant answers.</t>
  </si>
  <si>
    <t>How are short-term decisions linked to long-term infrastructure planning and investment decisions in your model? Long-term decisions refer to multi-decadal decisions such as investment in power pl...</t>
  </si>
  <si>
    <t>Is the weather uncertainty in multiple years included in your model parameters?</t>
  </si>
  <si>
    <t>What future uncertainties are considered when representing sub-annual temporal variability in your model parameters? Here, we refer to those events not driven by socioeconomic developments or cost...</t>
  </si>
  <si>
    <t>What is the level of granularity in representing technologies in your model?</t>
  </si>
  <si>
    <t> Which of the following demand and supply-side sectors are included in your model? Please choose all that apply.</t>
  </si>
  <si>
    <t>How electricity demand is represented in your model?</t>
  </si>
  <si>
    <t>If your answer was "Other", please explain:</t>
  </si>
  <si>
    <t>Which VRE sources are represented in your model? Please choose all that apply.</t>
  </si>
  <si>
    <t>What aspect(s) of VRE is represented in the model? Please choose all that apply.</t>
  </si>
  <si>
    <t>What VRE integration costs or requirements are modeled explicitly, i.e., depending on the capacity/generation of VRE? Please choose all that apply.</t>
  </si>
  <si>
    <t>Please explain the representation of VRE integration in your model, if it cannot be described by the options above or in case of ticking "Other".</t>
  </si>
  <si>
    <t>Can load be technically met only by VRE in a given (sub-annual) time slice in your model?</t>
  </si>
  <si>
    <t>What constraints limit the penetration of VRE in your model? Please choose all that apply.</t>
  </si>
  <si>
    <t>Please explain any additional points considering the constraints in your model that would limit the penetration of VRE, e.g., to meet 100% of the load.</t>
  </si>
  <si>
    <t>How the mismatch between electricity from VRE and load can be balanced in your model? Please choose all that apply.</t>
  </si>
  <si>
    <t>Have you explicitly modeled one or several electricity storage technologies in your model?</t>
  </si>
  <si>
    <t>What forms of storage duration are considered in your model? The storage duration can be attributed to the choice of technology, e.g., batteries for the short and pumped hydro for the long term. P...</t>
  </si>
  <si>
    <t>What storage technology categories are represented in your model? Please choose all that apply.</t>
  </si>
  <si>
    <t>Do you represent various storage technologies within a category (e.g., different battery chemistries) in your model?</t>
  </si>
  <si>
    <t>Please list technologies represented within each category mentioned above, only for applicable categories (e.g., Batteries: Li-ion, Lead-acid).</t>
  </si>
  <si>
    <t>What technical characteristics of electricity storage are modeled explicitly? Please choose all that apply.</t>
  </si>
  <si>
    <t>If applicable, please list other characteristics of storage represented in your model that are not listed above:</t>
  </si>
  <si>
    <t>What economic characteristics of electricity storage are modeled explicitly? (O&amp;M = operation and maintenance). Please choose all that apply.</t>
  </si>
  <si>
    <t>Are the costs of the power conversion system (PCS) and the storage reservoir/container represented separately in your model?</t>
  </si>
  <si>
    <t>Which service categories are relevant for storage technologies in your model? Please tick all that apply.</t>
  </si>
  <si>
    <t>Where are storage technologies represented in your model? Please tick all that apply.</t>
  </si>
  <si>
    <t>Which energy-related storage services are represented in your model? Please tick all that apply.</t>
  </si>
  <si>
    <t>Which power capacity-related storage services are represented in your model? Please tick all that apply.</t>
  </si>
  <si>
    <t>Which T&amp;D-related storage services are represented in your model? Please tick all that apply.</t>
  </si>
  <si>
    <t>Which storage services concerning VRE are represented in your model? Please tick all that apply.</t>
  </si>
  <si>
    <t>Please briefly explain the way energy storage can support the integration of VRE in your model, if not fully covered through the questions asked above.</t>
  </si>
  <si>
    <t>Which one of the following parameters affects the deployment of energy storage technologies in your model positively? Please tick all that apply.</t>
  </si>
  <si>
    <t>Please explain if the answer included "Other" and/or if you would like to add explanations.</t>
  </si>
  <si>
    <t>How is the system integration of electricity storage constrained in your model? Please tick all that apply.</t>
  </si>
  <si>
    <t>Can storage technologies contribute to multiple services  in your model? This functionality known as "revenue stacking" or "aggregation of benefits" allows a storage provider to offer energy-, cap...</t>
  </si>
  <si>
    <t>How is the ownership of storage and its revenues represented in your model?</t>
  </si>
  <si>
    <t>Please add any points related to the integration of energy storage in your model that you believe are not covered in the previous questions.</t>
  </si>
  <si>
    <t>Are energy storage technologies and their parameters treated differently based on the modeled scenario in your work? (e.g., more optimistic energy storage cost assumptions in electrification scena...</t>
  </si>
  <si>
    <t>If relevant, please explain your scenario-specific assumptions concerning storage technologies briefly. For example, do you consider different storage performance/cost parameters or storage integr...</t>
  </si>
  <si>
    <t>(Only for the teams in the ECEMF project) We need additional variables for conducting the storage analysis. Please tick all Priority 1 variables that you can report for your scenarios.</t>
  </si>
  <si>
    <t>anonymous</t>
  </si>
  <si>
    <t>Panagiotis Fragkos</t>
  </si>
  <si>
    <t>panagiotis.fragkos@ricardo.com</t>
  </si>
  <si>
    <t>E3Modelling</t>
  </si>
  <si>
    <t>WP1 (Task 1.3);</t>
  </si>
  <si>
    <t>PROMETHEUS</t>
  </si>
  <si>
    <t>Integrated assessment model</t>
  </si>
  <si>
    <t>Market simulation</t>
  </si>
  <si>
    <t>Global</t>
  </si>
  <si>
    <t>EU divided in 2-3 subregions</t>
  </si>
  <si>
    <t>Coarse copperplate (multiple countries in one modeling node)</t>
  </si>
  <si>
    <t>Not modeled</t>
  </si>
  <si>
    <t>Myopic foresight (short sighted)</t>
  </si>
  <si>
    <t>Yearly;</t>
  </si>
  <si>
    <t>~2050 (mid century)</t>
  </si>
  <si>
    <t>Yearly (No sub-annual time slices)</t>
  </si>
  <si>
    <t>Short-term events are represented implicitly, e.g., as a cost or other proxy.</t>
  </si>
  <si>
    <t>Using data from various empirical or model-based studies;</t>
  </si>
  <si>
    <t>Short-term decisions are represented using proxies and/or in a stylized format as part of long-term decisionmaking</t>
  </si>
  <si>
    <t>Yes, using varying input data (or sensitivity analysis)</t>
  </si>
  <si>
    <t>Climate impact on the supply side;Climate impact on the demand side;</t>
  </si>
  <si>
    <t>Technologies by input fuel type (e.g., all gas power plant types aggregated together)</t>
  </si>
  <si>
    <t>Buildings;Fossil fuel supply ;Industry sector;Renewable-based fuels and derivatives (e.g., green hydrogen);Power (supply) sector;Transport sector;</t>
  </si>
  <si>
    <t>Demand is modeled endogenously</t>
  </si>
  <si>
    <t>Concentrated solar power (CSP) (w/o storage);Onshore wind;Offshore wind;Solar photovoltaic (PV) (general);</t>
  </si>
  <si>
    <t>Direct costs (capital, O&amp;M, etc.);Indirect costs (integration costs);Resource potential;Technical characteristics (efficiency, capacity factor, etc.) ;Weather dependency (varying output in different time scales within a year);</t>
  </si>
  <si>
    <t>Grid management/contingency costs;Additional ancillary/balancing services costs (economic);Reduced capacity factor of non-VRE;</t>
  </si>
  <si>
    <t>Yes (but partly has to be with stored or firmed VRE)</t>
  </si>
  <si>
    <t>Integration cost (economic/implicit);Resource potential;Maximum share of VRE (either from generation, load, input to T&amp;D, etc.);</t>
  </si>
  <si>
    <t>Electricity storage;Power to hydrogen (electrolyzers);</t>
  </si>
  <si>
    <t>Yes</t>
  </si>
  <si>
    <t>Short-term (hours to a few days);Long-term (months to seasons);</t>
  </si>
  <si>
    <t>Storage is represented as a generic or homogenous asset w/o specific technology types.;</t>
  </si>
  <si>
    <t>No</t>
  </si>
  <si>
    <t>Capacity factor (max or nominal);Charge capacity (MW) (if it can be different from discharge capacity);Lifetime (in years);Power capacity (MW) (used for both charge and discharge);</t>
  </si>
  <si>
    <t>Capital cost;Variable O&amp;M cost;Fixed O&amp;M cost;End-of-lifetime cost or resale;</t>
  </si>
  <si>
    <t>No (PCS and reservoir are treated with one cost value)</t>
  </si>
  <si>
    <t>Renewable energy integration (e.g., curtailment reduction);Energy-related (e.g., peak shaving);</t>
  </si>
  <si>
    <t>Storage is represented generically (no location specific);</t>
  </si>
  <si>
    <t>Energy-related services are modeled collectively.;</t>
  </si>
  <si>
    <t>Capacity-related services are modeled collectively.;</t>
  </si>
  <si>
    <t>Not relevant;</t>
  </si>
  <si>
    <t>Curtailment reduction;Energy time-shifting;</t>
  </si>
  <si>
    <t>Cost competetiveness (incl. capital cost, O&amp;M cost, levelized cost, etc.) compared to other alternatives;Rapid cost learning, i.e., the decline of storage cost in future;The increasing share of VRE in the system (e.g., as % of annual load or generation);The value of capacity services of storage;Increased variability in the pattern of VRE within a year;</t>
  </si>
  <si>
    <t>Storage capacity/activity is dependent to that of VRE (i.e., no VRE --&gt; no storage).;</t>
  </si>
  <si>
    <t>Not relevant</t>
  </si>
  <si>
    <t>yes</t>
  </si>
  <si>
    <t>Capacity of storage (GWh);Capital cost of storage technologies (EUR/GW or EUR/GWh);</t>
  </si>
  <si>
    <t>Harmen Sytze de Boer</t>
  </si>
  <si>
    <t>boerdhs@pbl.nl</t>
  </si>
  <si>
    <t>PBL</t>
  </si>
  <si>
    <t>WP1 (Task 1.3);WP3;WP5;</t>
  </si>
  <si>
    <t>IMAGE</t>
  </si>
  <si>
    <t>Investment and capacity exapnsion planning</t>
  </si>
  <si>
    <t>Using proxies or stylized methods</t>
  </si>
  <si>
    <t>Recursive dynamic (feedback loop)</t>
  </si>
  <si>
    <t>~2100 (full century)</t>
  </si>
  <si>
    <t>Multi-hourly</t>
  </si>
  <si>
    <t>Yes, although the demand pattern is historic and not based on endogenous demand sector developments</t>
  </si>
  <si>
    <t>A few extreme short-term events are represented explicitly (e.g., seasonal peak load and zero supply from renewables).  </t>
  </si>
  <si>
    <t>Using data from various empirical or model-based studies;We use the RLDC dataset developed by PIK during the ADVANCE project (Ueckerdt et al., 2016);</t>
  </si>
  <si>
    <t>Data of one representative year based on irradiation and wind speed data for 1984–2005</t>
  </si>
  <si>
    <t>None of the above or not relevant;</t>
  </si>
  <si>
    <t>Scale-free technology types (e.g., different gas power plant types aggregated separately)</t>
  </si>
  <si>
    <t>Buildings;Fossil fuel supply ;Heat supply (including district heating/cooling);Industry sector;Renewable-based fuels and derivatives (e.g., green hydrogen);Power (supply) sector;Transport sector;</t>
  </si>
  <si>
    <t>Depends on the sector. Some are modelled in much detail (transport, industry), while other are more aggregated</t>
  </si>
  <si>
    <t>Concentrated solar power (CSP) (w/o storage);Onshore wind;Offshore wind;Run-of-the-river hydropower (w/o storage);Solar photovoltaic (PV) (general);Solar photovoltaic (PV) (rooftop);Solar photovoltaic (PV) (utility);Tidal or marine energy;</t>
  </si>
  <si>
    <t>Capacity value (contribution to power adequacy);Curtailment;Direct costs (capital, O&amp;M, etc.);Indirect costs (integration costs);Resource potential;Technical characteristics (efficiency, capacity factor, etc.) ;Weather dependency (varying output in different time scales within a year);</t>
  </si>
  <si>
    <t>Curtailment cost (i.e., cost of handling excess electricity or negative prices);Grid expansion or fortification needs;Reduced capacity factor of non-VRE;Storage requirements for energy time-shifting;</t>
  </si>
  <si>
    <t>Yes (no need for generation from non-VRE or discharge from storage)</t>
  </si>
  <si>
    <t>Integration requirements (technical/explicit, e.g., grid expansion and/or storage scale-up);Resource potential;Integration cost (economic/implicit);</t>
  </si>
  <si>
    <t>At some point, the load factor of any marginal solar/wind capacity gets quite small due to curtailments. Also, VRE can be backup for VRE. However, the firm capacity of marginal solar/wind capacity also gets quite low (increasing backup costs)</t>
  </si>
  <si>
    <t>Curtailment of VRE;Electricity storage;Flexible electricity generation from thermal power (e.g., biomass, coal, gas) with or w/o CCS;Flexible electricity generation from hydropower;Flexible electricity generation from nuclear power;Power to hydrogen (electrolyzers);</t>
  </si>
  <si>
    <t>No, storage is modeled as cost or other proxy</t>
  </si>
  <si>
    <t>Short-term (hours to a few days);Medium-term (a few weeks);Long-term (months to seasons);</t>
  </si>
  <si>
    <t>Flow batteries (e.g., Vanadium-Redox);Storage in the form of hydrogen;</t>
  </si>
  <si>
    <t>Our flow battery storage is included in the RLDC dataset we use. For certain shares of wind/solar, the dataset provides us with required storage capacity (MW/MWh). Round trip efficiencies are included in the dataset. Hydrogen can also be used as a way of storing electricity (although the hydrogen is not necessarily used again in het electricity sector);</t>
  </si>
  <si>
    <t>Capital cost;</t>
  </si>
  <si>
    <t>Renewable energy integration (e.g., curtailment reduction);Power capacity-related (e.g., capacity firming);Energy-related (e.g., peak shaving);</t>
  </si>
  <si>
    <t>At the generation side (utility VRE);At the generation side (central power plants);</t>
  </si>
  <si>
    <t>Peak shaving (e.g., daily, seasonal);</t>
  </si>
  <si>
    <t>Capacity firming of non-VRE (e.g., day/night smoothing of nuclear power);</t>
  </si>
  <si>
    <t>Grid services are modeled collectively.;</t>
  </si>
  <si>
    <t>Curtailment reduction;Capacity firming (increasing capacity value of VRE);</t>
  </si>
  <si>
    <t>The increasing share of VRE in the system (e.g., as % of annual load or generation);</t>
  </si>
  <si>
    <t>The RLDC dataset we use includes required storage capacity for different shares of VRE;</t>
  </si>
  <si>
    <t>No, the contribution of storage is only allowed to certain services (e.g., either to energy- or capacity-related services).</t>
  </si>
  <si>
    <t>Storage contributes to the system-level benefits. </t>
  </si>
  <si>
    <t>The RLDC dataset (including storage) is available for various levels of VRE integration constraints (strict, normal, relaxed)</t>
  </si>
  <si>
    <t>Capacity of storage (GWh);Electricity supplied/discharged by storage technologies (EJ/yr);Power capacity of electricity storage (GW);Power capacity of hydrogen electrolyzer (GW);</t>
  </si>
  <si>
    <t>Perfect foresight</t>
  </si>
  <si>
    <t>Yes, for all time slices</t>
  </si>
  <si>
    <t>Short- and long-term decisions are co-optimized in an integrated way.</t>
  </si>
  <si>
    <t>Static demand (no response to supply cost)</t>
  </si>
  <si>
    <t>Capital cost;Variable O&amp;M cost;Fixed O&amp;M cost;</t>
  </si>
  <si>
    <t>No, storage parameters were kept consistently across scenarios.</t>
  </si>
  <si>
    <t>Igor Tatarewicz</t>
  </si>
  <si>
    <t>igor.tatarewicz@kobize.pl</t>
  </si>
  <si>
    <t>KOBIZE/CAKE</t>
  </si>
  <si>
    <t>WP1 (Task 1.3);WP5;</t>
  </si>
  <si>
    <t>MEESA</t>
  </si>
  <si>
    <t>Power system model</t>
  </si>
  <si>
    <t>Europe (e.g., EU27 &amp; UK &amp; EEA)</t>
  </si>
  <si>
    <t>Multiple-country (~1-4 EU countries in each model region)</t>
  </si>
  <si>
    <t>Using a backbone or star model (nodes connected via a central grid)</t>
  </si>
  <si>
    <t>2- to 5-yearly;</t>
  </si>
  <si>
    <t>Representative time slices (sampled or clustered)</t>
  </si>
  <si>
    <t>18 or 72 time slices - two seasons, 3 types of day per season, 3 day periods - (day, night, peak in 18 TS) or 12 2-hours periods per day (in 72 TS)</t>
  </si>
  <si>
    <t>Operational uncertainty (e.g., generator outages or demand or renewable energy forecast errors);</t>
  </si>
  <si>
    <t>Fossil fuel supply ;Heat supply (including district heating/cooling);Renewable-based fuels and derivatives (e.g., green hydrogen);Power (supply) sector;</t>
  </si>
  <si>
    <t>Onshore wind;Offshore wind;Run-of-the-river hydropower (w/o storage);Solar photovoltaic (PV) (rooftop);Solar photovoltaic (PV) (utility);</t>
  </si>
  <si>
    <t>Capacity value (contribution to power adequacy);Direct costs (capital, O&amp;M, etc.);Technical characteristics (efficiency, capacity factor, etc.) ;Weather dependency (varying output in different time scales within a year);Resource potential;</t>
  </si>
  <si>
    <t>Additional ancillary/balancing services costs (economic);</t>
  </si>
  <si>
    <t>increasing variable VRE cost as the use of a given technology increases, simulating additional network/balancing costs</t>
  </si>
  <si>
    <t>Resource potential;Minimum share of non-VRE technologies (e.g., stabilizing share, firm capacity, etc.);Integration requirements (technical/explicit, e.g., grid expansion and/or storage scale-up);Temporal or spatial mismatch between VRE and load;</t>
  </si>
  <si>
    <t>Electricity storage;Flexible electricity generation from thermal power (e.g., biomass, coal, gas) with or w/o CCS;Flexible electricity generation from nuclear power;Power to hydrogen (electrolyzers);Demand response in transport (e.g., smart charging of EVs);Demand response (generic, no sector-specific);Curtailment of VRE;Curtailment of load (unserved energy);Electricity export/import (grid connection);Power to heat (w/ or w/o storage);</t>
  </si>
  <si>
    <t>Short-term (hours to a few days);Medium-term (a few weeks);</t>
  </si>
  <si>
    <t>Pumped hydro storage;Secondary electorchemical batteries (e.g., Li-ion, etc.);hydrogen storage;</t>
  </si>
  <si>
    <t>Lifetime (in years);Power capacity (MW) (used for both charge and discharge);Storage content balance (equal storage content at the beginning and end of a model year/period);Duration of discharge or energy-to-power ratio (h);Charge capacity (MW) (if it can be different from discharge capacity);Discharging efficiency;Discharge capacity (MW) (if it can be different from charge capacity);Charging efficiency;</t>
  </si>
  <si>
    <t>Yes (for some or all technologies)</t>
  </si>
  <si>
    <t>Energy-related (e.g., peak shaving);Power capacity-related (e.g., capacity firming);Renewable energy integration (e.g., curtailment reduction);</t>
  </si>
  <si>
    <t>Power transmission level;Power distribution level;End-use side (buildings);</t>
  </si>
  <si>
    <t>Peak shaving (e.g., daily, seasonal);Energy time shifting (arbitrage);Increasing self-consumption at the end use side;</t>
  </si>
  <si>
    <t>Transmission and distribution services are represented separately.;</t>
  </si>
  <si>
    <t>VRE-related services of storage are modeled in an aggregated way (i.e., no individual representation of services).;</t>
  </si>
  <si>
    <t>Cost competetiveness (incl. capital cost, O&amp;M cost, levelized cost, etc.) compared to other alternatives;Rapid cost learning, i.e., the decline of storage cost in future;The increasing share of VRE in the system (e.g., as % of annual load or generation);Increased volatility in the pattern of electric load within a year;Increased variability in the pattern of VRE within a year;</t>
  </si>
  <si>
    <t>Storage is constrained by build-up, technological learning, and/or market-penetration growth rates (i.e., dynamic constraints dependent on storage deployment).;(Some or all) storage technologies are constrained by available sites, resource potential, material availability, etc. (i.e., static constraints not necessarily dependent on storage deployment);</t>
  </si>
  <si>
    <t>-</t>
  </si>
  <si>
    <t>Capacity of storage (GWh);Capital cost of storage technologies (EUR/GW or EUR/GWh);Duration of charge/discharge (h);Efficiency of storage technologies (as % or lost energy (EJ/yr));Electricity supplied/discharged by storage technologies (EJ/yr);Lifetime of storage technologies (year);Net electricity trade (import/export) (EJ/yr);Power capacity of electricity storage (GW);Power capacity of hydrogen electrolyzer (GW);</t>
  </si>
  <si>
    <t>Concentrated solar power (CSP) (w/o storage);Onshore wind;Offshore wind;Run-of-the-river hydropower (w/o storage);Solar photovoltaic (PV) (general);</t>
  </si>
  <si>
    <t>Johannes Emmerling</t>
  </si>
  <si>
    <t>johannes.emmerling@cmcc.it</t>
  </si>
  <si>
    <t>CMCC</t>
  </si>
  <si>
    <t>WP3;WP5;WP1 (Task 1.3);</t>
  </si>
  <si>
    <t>WITCH</t>
  </si>
  <si>
    <t>Macro-economic modeling</t>
  </si>
  <si>
    <t>EU- or European level (one model region)</t>
  </si>
  <si>
    <t>Short-term decisions are not relevant to the modeling scope.</t>
  </si>
  <si>
    <t>Buildings;Power (supply) sector;Transport sector;</t>
  </si>
  <si>
    <t>Capacity value (contribution to power adequacy);Curtailment;Direct costs (capital, O&amp;M, etc.);Indirect costs (integration costs);Resource potential;</t>
  </si>
  <si>
    <t>Curtailment cost (i.e., cost of handling excess electricity or negative prices);Grid expansion or fortification needs;</t>
  </si>
  <si>
    <t>No (there must be a level of non-VRE generation)</t>
  </si>
  <si>
    <t>Maximum share of VRE (either from generation, load, input to T&amp;D, etc.);</t>
  </si>
  <si>
    <t>Curtailment of VRE;Electricity storage;</t>
  </si>
  <si>
    <t>Long-term (months to seasons);Medium-term (a few weeks);</t>
  </si>
  <si>
    <t>Compressed air-based technologies;Pumped hydro storage;</t>
  </si>
  <si>
    <t>Capacity factor (max or nominal);Charge capacity (MW) (if it can be different from discharge capacity);</t>
  </si>
  <si>
    <t>Capital cost;Variable O&amp;M cost;</t>
  </si>
  <si>
    <t>Power capacity-related (e.g., capacity firming);</t>
  </si>
  <si>
    <t>At the generation side (central power plants);</t>
  </si>
  <si>
    <t>Back-up capacity (once or a few times a year);Capacity firming of non-VRE (e.g., day/night smoothing of nuclear power);</t>
  </si>
  <si>
    <t>Curtailment reduction;</t>
  </si>
  <si>
    <t>Cost competetiveness (incl. capital cost, O&amp;M cost, levelized cost, etc.) compared to other alternatives;Rapid cost learning, i.e., the decline of storage cost in future;The increasing share of VRE in the system (e.g., as % of annual load or generation);</t>
  </si>
  <si>
    <t>Storage capacity/activity is dependent to that of VRE (i.e., no VRE --&gt; no storage).;Storage capacity/activity is capped to a certain share of another process, such as generation, flexibility, T&amp;D, load, etc. (e.g., max 40% of load can be met by storage discharge);</t>
  </si>
  <si>
    <t>for now we didnt change storage parameters.</t>
  </si>
  <si>
    <t>Capacity of storage (GWh);Lifetime of storage technologies (year);Power capacity of electricity storage (GW);</t>
  </si>
  <si>
    <t>Amir Fattahi</t>
  </si>
  <si>
    <t>amir.fattahi@tno.nl</t>
  </si>
  <si>
    <t>TNO</t>
  </si>
  <si>
    <t>TIAM-ECN</t>
  </si>
  <si>
    <t>cross-border lines are modelled between two subregions of EU (EastEU and WestEU) through an aggregated proxy.</t>
  </si>
  <si>
    <t>2- to 5-yearly;10-yearly and/or longer;</t>
  </si>
  <si>
    <t>Seasonal (2-4 time slices per model period)</t>
  </si>
  <si>
    <t>Not relevant (e.g., no temporal representation)</t>
  </si>
  <si>
    <t xml:space="preserve">Only for solar and wind generation, we represent short-term events implicitly as an additional flexibility requirement costs. </t>
  </si>
  <si>
    <t>Bidirectional soft-linking to a detailed operational and dispatch model;Using data from various empirical or model-based studies;We are doing a bidirectional soft-linking with a detailed power system model in WP3.2. It is a work in progress.. ;</t>
  </si>
  <si>
    <t>Direct costs (capital, O&amp;M, etc.);Indirect costs (integration costs);Technical characteristics (efficiency, capacity factor, etc.) ;Resource potential;Weather dependency (varying output in different time scales within a year);</t>
  </si>
  <si>
    <t>Additional O&amp;M cost of non-VRE;</t>
  </si>
  <si>
    <t>Integration cost (economic/implicit);Resource potential;Temporal or spatial mismatch between VRE and load;</t>
  </si>
  <si>
    <t>Curtailment of VRE;Flexible electricity generation from thermal power (e.g., biomass, coal, gas) with or w/o CCS;Flexible electricity generation from nuclear power;Power to hydrogen (electrolyzers);Power to heat (w/ or w/o storage);Power to synfuels (other than hydrogen);Electricity export/import (grid connection);</t>
  </si>
  <si>
    <t>Storage duration does not play a role (e.g., storage is modeled generically);</t>
  </si>
  <si>
    <t>No storage is modelled in TIAM-ECN. I have to give an answer to Q35 to continue the survey. ;</t>
  </si>
  <si>
    <t>No storage is modelled in TIAM-ECN;</t>
  </si>
  <si>
    <t>No storage is modelled in TIAM-ECN.</t>
  </si>
  <si>
    <t>Cost of storage is not relevant or represented</t>
  </si>
  <si>
    <t>Ancillary services (e.g., frequency regulation);</t>
  </si>
  <si>
    <t>No storage is modelled in TIAM-ECN. Please ignore Q42 answer. I had to tick a box to continue the survey. ;</t>
  </si>
  <si>
    <t>Power capacity of hydrogen electrolyzer (GW);Net electricity trade (import/export) (EJ/yr);</t>
  </si>
  <si>
    <t>Short-term events are not represented or relevant.</t>
  </si>
  <si>
    <t>Robert Pietzcker</t>
  </si>
  <si>
    <t>pietzcker@pik-potsdam.de</t>
  </si>
  <si>
    <t>Potsdam Institute for Climate Impact Research</t>
  </si>
  <si>
    <t>REMIND</t>
  </si>
  <si>
    <t>Hybrid: coupling an investment and capacity expansion energy system with a Ramsey growth model</t>
  </si>
  <si>
    <t>not explicitly modeled, but generalized transmission expansion and pooling effects across EU regions are included</t>
  </si>
  <si>
    <t>Not explicitly, but the effects on VRE integration/storage/transmission build-out are represented in an aggregate way</t>
  </si>
  <si>
    <t xml:space="preserve">Not explicitly, but the effects on VRE integration/storage/transmission build-out are represented in an aggregate way, parameterized to reflect results from more detailed (hourly) models </t>
  </si>
  <si>
    <t>Other</t>
  </si>
  <si>
    <t>Resource potential;Indirect costs (integration costs);Direct costs (capital, O&amp;M, etc.);Curtailment;Technical characteristics (efficiency, capacity factor, etc.) ;</t>
  </si>
  <si>
    <t>Curtailment cost (i.e., cost of handling excess electricity or negative prices);Grid expansion or fortification needs;Storage requirements for energy time-shifting;</t>
  </si>
  <si>
    <t>Integration cost (economic/implicit);Minimum share of non-VRE technologies (e.g., stabilizing share, firm capacity, etc.);Integration requirements (technical/explicit, e.g., grid expansion and/or storage scale-up);Resource potential;</t>
  </si>
  <si>
    <t>on question 31: what is "firmed VRE"? in our model, there has to be some storage discharge and there has to be some electricity generation from either gas peaking plants or hydrogen peaking plants - in ambitious mitigation scenarios, the model then only uses hydrogen peaking plants from electrolysis-hydrogen. is this "stored electricity", or is it "a level on non-VRE-generation"?</t>
  </si>
  <si>
    <t>not explicitly modeled, but many of these options are contained in the models that were used to parameterize the integration constraints/storage/grid/curtailment;</t>
  </si>
  <si>
    <t>Secondary electorchemical batteries (e.g., Li-ion, etc.);electrolyzers + h2 turbines;</t>
  </si>
  <si>
    <t>Duration of discharge or energy-to-power ratio (h);Round-trip efficiency;Storage reservoir size (MWh);Discharge capacity (MW) (if it can be different from charge capacity);</t>
  </si>
  <si>
    <t>Capital cost;Fixed O&amp;M cost;</t>
  </si>
  <si>
    <t>Renewable energy integration (e.g., curtailment reduction);</t>
  </si>
  <si>
    <t>see below - not explicitly modeled;</t>
  </si>
  <si>
    <t>Storage deployment is modeled as a requirement from VRE deployment, with the specific storage requirements per kWh of VRE electricity increasing linearly with the share of VRE. (so in total, storage requirements increase roughly with the square of VRE share)</t>
  </si>
  <si>
    <t>Storage capacity/activity is dependent to that of VRE (i.e., no VRE --&gt; no storage).;Storage is constrained by build-up, technological learning, and/or market-penetration growth rates (i.e., dynamic constraints dependent on storage deployment).;</t>
  </si>
  <si>
    <t>as said above, storage is directly hard-linked to VRE deployment</t>
  </si>
  <si>
    <t xml:space="preserve">yes, we decrease the storage capacity requirements at a given VRE share, as we assume more demand side management, better use of vehicle-to-grid, better pooling etc. </t>
  </si>
  <si>
    <t>Capacity of storage (GWh);Capital cost of storage technologies (EUR/GW or EUR/GWh);Duration of charge/discharge (h);Power capacity of electricity storage (GW);Power capacity of hydrogen electrolyzer (GW);</t>
  </si>
  <si>
    <t>Behnam Zakeri</t>
  </si>
  <si>
    <t>zakeri@iiasa.ac.at</t>
  </si>
  <si>
    <t>IIASA</t>
  </si>
  <si>
    <t>MESSAGEix-GLOBIOM</t>
  </si>
  <si>
    <t>Using data from various empirical or model-based studies;Using data from a detailed operational and dispatch model (unidirectional soft-linking);</t>
  </si>
  <si>
    <t>Applying peak load factors to cover grid contingencies and uncertainties in load</t>
  </si>
  <si>
    <t>Elastic demand (responsive to supply cost)</t>
  </si>
  <si>
    <t>Capacity value (contribution to power adequacy);Curtailment;Direct costs (capital, O&amp;M, etc.);Indirect costs (integration costs);Resource potential;Technical characteristics (efficiency, capacity factor, etc.) ;</t>
  </si>
  <si>
    <t>Additional ancillary/balancing services costs (economic);Curtailment cost (i.e., cost of handling excess electricity or negative prices);Grid management/contingency costs;Grid expansion or fortification needs;Reduced capacity factor of non-VRE;Short-term flexibility requirements;</t>
  </si>
  <si>
    <t>Minimum share of non-VRE technologies (e.g., stabilizing share, firm capacity, etc.);Integration cost (economic/implicit);Integration requirements (technical/explicit, e.g., grid expansion and/or storage scale-up);Resource potential;</t>
  </si>
  <si>
    <t>Curtailment of VRE;Demand response in transport (e.g., smart charging of EVs);Electricity storage;Electricity export/import (grid connection);Flexible electricity generation from thermal power (e.g., biomass, coal, gas) with or w/o CCS;Flexible electricity generation from hydropower;Power to hydrogen (electrolyzers);</t>
  </si>
  <si>
    <t>Capacity factor (max or nominal);Lifetime (in years);Power capacity (MW) (used for both charge and discharge);Round-trip efficiency;</t>
  </si>
  <si>
    <t>Capital cost;Variable O&amp;M cost;Fixed O&amp;M cost;Replacement or major retrofit cost;</t>
  </si>
  <si>
    <t>Energy-related (e.g., peak shaving);Power capacity-related (e.g., capacity firming);T&amp;D grid (e.g., investment deferral);Renewable energy integration (e.g., curtailment reduction);Ancillary services (e.g., frequency regulation);</t>
  </si>
  <si>
    <t>At the generation side (central power plants);At the generation side (utility VRE);Power transmission level;</t>
  </si>
  <si>
    <t>Curtailment reduction;Integration cost reduction;Short-term flexibility/balancing (operative reserve);Capacity firming (increasing capacity value of VRE);</t>
  </si>
  <si>
    <t>Cost competetiveness (incl. capital cost, O&amp;M cost, levelized cost, etc.) compared to other alternatives;Rapid cost learning, i.e., the decline of storage cost in future;The increasing share of VRE in the system (e.g., as % of annual load or generation);The value of capacity services of storage;Barriers in the deployment of competing technologies (e.g., demand response, grid expansion, etc.);Considering the duration of storage services (short vs. long duration);</t>
  </si>
  <si>
    <t>Storage can be deployed in competition with other alternatives, without any specific limit.;Storage is constrained by build-up, technological learning, and/or market-penetration growth rates (i.e., dynamic constraints dependent on storage deployment).;</t>
  </si>
  <si>
    <t>Yes, storage can provide multiple services without any limits.</t>
  </si>
  <si>
    <t>N/A</t>
  </si>
  <si>
    <t>Capacity of storage (GWh);Capital cost of storage technologies (EUR/GW or EUR/GWh);Efficiency of storage technologies (as % or lost energy (EJ/yr));Lifetime of storage technologies (year);Net electricity trade (import/export) (EJ/yr);Power capacity of electricity storage (GW);Power capacity of hydrogen electrolyzer (GW);</t>
  </si>
  <si>
    <t>Direct costs (capital, O&amp;M, etc.);Indirect costs (integration costs);Resource potential;Technical characteristics (efficiency, capacity factor, etc.) ;</t>
  </si>
  <si>
    <t>Shotaro Mori</t>
  </si>
  <si>
    <t>mori.shotaro.2n@kyoto-u.ac.jp</t>
  </si>
  <si>
    <t>Kyoto University</t>
  </si>
  <si>
    <t>Not participated in ECEMF;</t>
  </si>
  <si>
    <t>AIM</t>
  </si>
  <si>
    <t>Integrated assessement model soft-linked with energy system model</t>
  </si>
  <si>
    <t>Macro-economic modeling &amp; Investment and capacity expansion planning</t>
  </si>
  <si>
    <t>In our model, intra-annual time is represented using representative time slices. The year is approximated by twelve representative days, one for each month, and each representative day is modeled with twenty-four hourly slices, so the time-slice length is one hour. In addition, the model includes four extra representative days, one in each quarter, selected to reflect conditions when VRE output is at its lowest based on historical weather data from 2006 to 2015.</t>
  </si>
  <si>
    <t>No, the concurrency is not preserved (e.g., due to sampling)</t>
  </si>
  <si>
    <t>Solar photovoltaic (PV) (rooftop);Solar photovoltaic (PV) (utility);Offshore wind;Onshore wind;Concentrated solar power (CSP) (w/o storage);</t>
  </si>
  <si>
    <t>Capacity value (contribution to power adequacy);Curtailment;Resource potential;Technical characteristics (efficiency, capacity factor, etc.) ;Weather dependency (varying output in different time scales within a year);Direct costs (capital, O&amp;M, etc.);</t>
  </si>
  <si>
    <t>Short-term flexibility requirements;Storage requirements for energy time-shifting;</t>
  </si>
  <si>
    <t>The power sector uses a dispatch module with a 1 hour temporal resolution for representative days. The operating conditions of the power generator are determined under a cost-minimizing framework subject to satisfying the power supply–demand balance. Therefore, the capacity factor of flexible generators, storage requirements and other flexibility requirements (e.g., demand response) are determined endogenously in this model.</t>
  </si>
  <si>
    <t>Integration requirements (technical/explicit, e.g., grid expansion and/or storage scale-up);Resource potential;Temporal or spatial mismatch between VRE and load;</t>
  </si>
  <si>
    <t>Curtailment of VRE;Demand response in buildings;Demand response in transport (e.g., smart charging of EVs);Electricity storage;Flexible electricity generation from thermal power (e.g., biomass, coal, gas) with or w/o CCS;Power to hydrogen (electrolyzers);Power to synfuels (other than hydrogen);</t>
  </si>
  <si>
    <t>Long-term (months to seasons);Short-term (hours to a few days);</t>
  </si>
  <si>
    <t>Pumped hydro storage;Secondary electorchemical batteries (e.g., Li-ion, etc.);Compressed air-based technologies;</t>
  </si>
  <si>
    <t>Power capacity (MW) (used for both charge and discharge);Duration of discharge or energy-to-power ratio (h);Round-trip efficiency;Storage reservoir size (MWh);Lifetime (in years);</t>
  </si>
  <si>
    <t>Energy time shifting (arbitrage);Peak shaving (e.g., daily, seasonal);Energy-related services are modeled collectively.;</t>
  </si>
  <si>
    <t>Back-up capacity (once or a few times a year);Capacity firming of non-VRE (e.g., day/night smoothing of nuclear power);Capacity-related services are modeled collectively.;</t>
  </si>
  <si>
    <t>Investment in storage has no impact on T&amp;D.;</t>
  </si>
  <si>
    <t>VRE-related services of storage are modeled in an aggregated way (i.e., no individual representation of services).;Curtailment reduction;Energy time-shifting;Short-term flexibility/balancing (operative reserve);Capacity firming (increasing capacity value of VRE);</t>
  </si>
  <si>
    <t>Potentially, energy storage in our model could provide the services ticked in Q.44, Q.45, and Q.47, however, these are not modeled as explicit, disaggregated services. Rather, in our model, energy storage is represented only as a device that can charge and discharge energy within the optimization of power system operation, and it is only ex post that storage is interpreted as having provided such services.</t>
  </si>
  <si>
    <t>Cost competetiveness (incl. capital cost, O&amp;M cost, levelized cost, etc.) compared to other alternatives;Considering the duration of storage services (short vs. long duration);Rapid cost learning, i.e., the decline of storage cost in future;The increasing share of VRE in the system (e.g., as % of annual load or generation);The value of capacity services of storage;Barriers in the deployment of competing technologies (e.g., demand response, grid expansion, etc.);Increased volatility in the pattern of electric load within a year;Increased variability in the pattern of VRE within a year;</t>
  </si>
  <si>
    <t>(Some or all) storage technologies are constrained by available sites, resource potential, material availability, etc. (i.e., static constraints not necessarily dependent on storage deployment);</t>
  </si>
  <si>
    <t>In our model, the techno-economic parameters of storage technologies are basically kept identical across scenarios.</t>
  </si>
  <si>
    <t>Storage</t>
  </si>
  <si>
    <t>Not modelled</t>
  </si>
  <si>
    <t>Storage services</t>
  </si>
  <si>
    <t>Generic</t>
  </si>
  <si>
    <t>Collective</t>
  </si>
  <si>
    <t>Firming non-VRE</t>
  </si>
  <si>
    <t>Storage for T&amp;D services</t>
  </si>
  <si>
    <t>Curtailment</t>
  </si>
  <si>
    <t>VRE-dependent</t>
  </si>
  <si>
    <t>Additional O&amp;M cost of non-VRE</t>
  </si>
  <si>
    <t>VRE technologies modelled</t>
  </si>
  <si>
    <t>Notes</t>
  </si>
  <si>
    <t>Storage efficiency plays a role</t>
  </si>
  <si>
    <t>Global Change Analysis Model (GCAM)</t>
  </si>
  <si>
    <t>Concentrated solar power (CSP) (w/o storage);Onshore wind;Offshore wind;Solar photovoltaic (PV) (rooftop);Solar photovoltaic (PV) (utility);</t>
  </si>
  <si>
    <t>GCAM v7.3+ represents diminishing VRE value with increasing VRE generation share - reflective of a variety of system costs needed to support VRE integration (VRE curtailment, additional firm capacity, transmission expansion, ancillary/balancing services costs, etc.).  This value reduction is represented as a single integration cost added to other technology costs (capital, O&amp;M, grid connection, etc.).;Additional ancillary/balancing services costs (economic);Curtailment cost (i.e., cost of handling excess electricity or negative prices);Grid expansion or fortification needs;Grid management/contingency costs;</t>
  </si>
  <si>
    <t>Integration cost (economic/implicit);Resource potential;</t>
  </si>
  <si>
    <t>GCAM v7.3+ represents diminishing VRE value with increasing VRE generation share - reflective of a variety of system costs needed to support VRE integration (VRE curtailment, additional firm capacity, transmission expansion, ancillary/balancing services costs, etc.).  This value reduction is represented as a single integration cost added to other technology costs (capital, O&amp;M, grid connection, etc.).  This approach is documented at https://jgcri.github.io/gcam-doc/cmp/394-Intermittent_electricity_integration.pdf and is based on technology market share : value factor relationships from Mowers et al., 2023 (Mowers, M., Mignone, B.K. and Steinberg, D.C., 2023. Quantifying value and representing competitiveness of electricity system technologies in economic models. Applied Energy, 329, p.120132. https://doi.org/10.1016/j.apenergy.2022.120132.).</t>
  </si>
  <si>
    <t>GCAM represents annual electricity generation by technology and does not explicitly balance electric loads subannually.;</t>
  </si>
  <si>
    <t>Short-term (hours to a few days);Storage duration does not play a role (e.g., storage is modeled generically);</t>
  </si>
  <si>
    <t>Secondary electorchemical batteries (e.g., Li-ion, etc.);Storage is represented as a generic or homogenous asset w/o specific technology types.;In GCAM, storage is represented generically but parameterized based on a short-duration Li-ion battery system for PV and onshore wind and molten salt thermal storage for CSP.;</t>
  </si>
  <si>
    <t>Lifetime (in years);Replacement (partial or full);Round-trip efficiency;</t>
  </si>
  <si>
    <t>At the generation side (utility VRE);</t>
  </si>
  <si>
    <t>Energy-related services are not relevant/modeled.;</t>
  </si>
  <si>
    <t>Curtailment reduction;Integration cost reduction;VRE-related services of storage are modeled in an aggregated way (i.e., no individual representation of services).;</t>
  </si>
  <si>
    <t>For variable renewable energy technologies (e.g., PV, CSP, onshore wind), GCAM represents two technology options:  (1) VRE without dedicated storage which is subject to integration costs (reduced value factor with increasing market share) or (2) VRE with dedicated storage (short-duration Li-ion battery for PV and onshore wind; molten salt thermal storage for CSP) which entail additional capital and O&amp;M costs and round trip energy losses but do not face any integration costs.</t>
  </si>
  <si>
    <t>Cost competetiveness (incl. capital cost, O&amp;M cost, levelized cost, etc.) compared to other alternatives;The increasing share of VRE in the system (e.g., as % of annual load or generation);</t>
  </si>
  <si>
    <t>Depending on the location of storage, it can be owned by the grid, energy utilites, or end user, and would benefit the respective owner.</t>
  </si>
  <si>
    <t>I am not personally involved in ECEMF and am not aware of GCAM involvement.  I answered Yes to question 49 since N/A was not an option.  GCAM does include central, high, and low cost storage assumptions that can be used in different scenarios.</t>
  </si>
  <si>
    <t>GCAM</t>
  </si>
  <si>
    <t>Matthew Binsted</t>
  </si>
  <si>
    <t>matthew.binsted@pnnl.gov</t>
  </si>
  <si>
    <t>Pacific Northwest National Laboratory</t>
  </si>
  <si>
    <t>unsure (not involved in ECEMF);</t>
  </si>
  <si>
    <t>VRE</t>
  </si>
  <si>
    <t>Metadata</t>
  </si>
  <si>
    <t>GCAM:  generic, parameterised as Li-ion battery; IMAGE: has flow battery</t>
  </si>
  <si>
    <t>Electrochemical batteries modelled</t>
  </si>
  <si>
    <t>Storage energy services details (not including VRE curtailment)</t>
  </si>
  <si>
    <t>Peak shaving</t>
  </si>
  <si>
    <t>Storage is not hard-linked to VRE deployment</t>
  </si>
  <si>
    <t>IMAGE: The RLDC dataset we use includes required storage capacity for different shares of VRE;</t>
  </si>
  <si>
    <t>Storage deployment constraints</t>
  </si>
  <si>
    <t>Storage for energy services</t>
  </si>
  <si>
    <t>Storage degradation over time modelled</t>
  </si>
  <si>
    <t>Storage competes with other flexibility options</t>
  </si>
  <si>
    <t>VRE integration</t>
  </si>
  <si>
    <t>Storage modelled explicitly</t>
  </si>
  <si>
    <t>Temporal representation</t>
  </si>
  <si>
    <t>Spatial representation</t>
  </si>
  <si>
    <t>Duration</t>
  </si>
  <si>
    <t>Storage T&amp;D services</t>
  </si>
  <si>
    <t>Storage power/ancillary services</t>
  </si>
  <si>
    <t>Storage VRE integration services</t>
  </si>
  <si>
    <t>Short and long-duration storage represented</t>
  </si>
  <si>
    <t>Storage uptake parameterisation</t>
  </si>
  <si>
    <t>In response to Question 36 (yes=1, implicit=0.5, No=0)</t>
  </si>
  <si>
    <t>In response to Question 37 (short=0.5, long=0.5)</t>
  </si>
  <si>
    <t>Storage cost plays a role</t>
  </si>
  <si>
    <t>Storage for power capacity services</t>
  </si>
  <si>
    <t>Storage multi-tasking (aggregation of benefits)</t>
  </si>
  <si>
    <t>Storage parameters dependent on the scenario</t>
  </si>
  <si>
    <t>In response to Q58: No=0, Yes=0.5</t>
  </si>
  <si>
    <t>VRE characteristics modelled</t>
  </si>
  <si>
    <t>In response to Q29 (max 8 items, 0.25 point per item)</t>
  </si>
  <si>
    <t>In response to Q30 (max 8 items, 0.25 point per item)</t>
  </si>
  <si>
    <t>In response to Q15: 0: no subannual, 1: seasonal or a few time slices or RLDC, 2: representative time slices (sampled or clustered), 3: multi-hourly, 4: hourly</t>
  </si>
  <si>
    <t>In response to Q17: 0: not preserved, 1: preserved</t>
  </si>
  <si>
    <t>In response to Q18: 0: not preserved, 1: preserved</t>
  </si>
  <si>
    <t>Spatial resolution</t>
  </si>
  <si>
    <t>Grid representation</t>
  </si>
  <si>
    <t>Storage representation</t>
  </si>
  <si>
    <t>VRE modelling</t>
  </si>
  <si>
    <t>In response to Q11: 0: Not modelled, 0.5: Implicit/proxy, 1: Explicit</t>
  </si>
  <si>
    <t>Intra-regional power transmission constraints</t>
  </si>
  <si>
    <t>Subannual time slices representation</t>
  </si>
  <si>
    <t>Chronology (of sub-annual time slices)</t>
  </si>
  <si>
    <t>Concurrency in sub-annual timeseries of different processes (load, VRE, etc.)</t>
  </si>
  <si>
    <t>VRE integration challenges represented</t>
  </si>
  <si>
    <t>VRE integration constraints modelled</t>
  </si>
  <si>
    <t>Alternative flexibility options for VRE integration</t>
  </si>
  <si>
    <t>Storage technologies represented</t>
  </si>
  <si>
    <t>Storage technology sub-classes (e.g., Li-ion, Sodium-ion etc.)</t>
  </si>
  <si>
    <t>Max points</t>
  </si>
  <si>
    <t>Total</t>
  </si>
  <si>
    <t>Techno-economic</t>
  </si>
  <si>
    <t>Services</t>
  </si>
  <si>
    <t>Storage multi-service allowed</t>
  </si>
  <si>
    <t>Storage reduces VRE curtailment</t>
  </si>
  <si>
    <t>Modelling constraints</t>
  </si>
  <si>
    <t>Category</t>
  </si>
  <si>
    <t>Indicator</t>
  </si>
  <si>
    <t>Storage duration is modelled</t>
  </si>
  <si>
    <t>Storage parameters vary by scenario</t>
  </si>
  <si>
    <t>Utility vs. behind-the-meter storage distinguished</t>
  </si>
  <si>
    <t>Electricity storage</t>
  </si>
  <si>
    <t>Hydrogen</t>
  </si>
  <si>
    <t>AIM-T</t>
  </si>
  <si>
    <t>SRF Dimension</t>
  </si>
  <si>
    <t>Sub-dimension</t>
  </si>
  <si>
    <t>Sub-indicator</t>
  </si>
  <si>
    <t>Max</t>
  </si>
  <si>
    <t>Storage representation (SRF)</t>
  </si>
  <si>
    <t>Storage technology</t>
  </si>
  <si>
    <t>Explicit</t>
  </si>
  <si>
    <t>Sub-total</t>
  </si>
  <si>
    <t>Short-duration</t>
  </si>
  <si>
    <t>✓</t>
  </si>
  <si>
    <t>—</t>
  </si>
  <si>
    <t>Long-duration</t>
  </si>
  <si>
    <t>In response to Question 38 (0.25 per key (near-)commercial technology (PHS, CAES, Batteries, flow batteries, hydrogen), 0.5 = generic, max = 1.25). Note: hydrogen has been taken into account for those who missed reporting here, but reported elsewhere. Generic is only considered once for each duration (e.g., a model cannot add up generic and batteries at the same time for short-duration storage, but they can add up generic for short-term with hydrogen for long-term).</t>
  </si>
  <si>
    <t>Batteries (electrochemical)</t>
  </si>
  <si>
    <t>Compressed air</t>
  </si>
  <si>
    <t>Flow batteries</t>
  </si>
  <si>
    <t>(✓)</t>
  </si>
  <si>
    <t>Pumped hydro</t>
  </si>
  <si>
    <t>In response to Question 39 (0=no, 0.5=Med (a few), 1=High (all technologies))</t>
  </si>
  <si>
    <t>In response to Q47 (collective: 0.5, or individual services: 0.25 per service, max=4*0.25=1). If "Collective" is ticked, it cannot be added to the scores of individual services.</t>
  </si>
  <si>
    <t>Arbitrage</t>
  </si>
  <si>
    <t>Fuel supply firming</t>
  </si>
  <si>
    <t>Self-consumption end user</t>
  </si>
  <si>
    <t>In response to Q48 (collective: 0.5, individual services: 0.25, max=4*0.25=1). If "Collective" is ticked, it cannot be added to the scores of individual services.</t>
  </si>
  <si>
    <t>Backup</t>
  </si>
  <si>
    <t>Frequency regulation (primary, secondary, and tertiary)</t>
  </si>
  <si>
    <t>Power quality services (end use)</t>
  </si>
  <si>
    <t>In response to Q49 (collective: 0.5, individual services: 0.25, max=3*0.25=0.75). If "Collective" is ticked, it cannot be added to the scores of individual services.</t>
  </si>
  <si>
    <t>Congestion relief</t>
  </si>
  <si>
    <t>Investment deferral</t>
  </si>
  <si>
    <t>T&amp;D modelled separately</t>
  </si>
  <si>
    <t>In response to Q50 (collective: 0.5, individual services: 0.25, max=6*0.25=1.5). If "Collective" is ticked, it cannot be added to the scores of individual services.</t>
  </si>
  <si>
    <t>Curtailment reduction</t>
  </si>
  <si>
    <t>Firming capacity</t>
  </si>
  <si>
    <t>Integration cost reducing</t>
  </si>
  <si>
    <t>Operating reserve (balancing)</t>
  </si>
  <si>
    <t>Time-shifting</t>
  </si>
  <si>
    <t>Self-consumption (end use)</t>
  </si>
  <si>
    <t>In response to Q55 (not allowed or not relevant=0, limited to certain services =0.25, Multiple, maximising storage value=0.5, Multiple, flexible=0.75, Multiple, with an allocation model=1) Note 1: storage maximising benefits from multiple services is scored 0.5, because that may not be consistent with the system value (not desirable from system-perspective); Note 2: Storage with allocation model is scored higher than "no limit" in multi-tasking, as no limit may overestimate the availability of storage for providing multiple services at peak demand times.</t>
  </si>
  <si>
    <t>No, not allowed</t>
  </si>
  <si>
    <t>No, storage is directly hard-linked to VRE deployment</t>
  </si>
  <si>
    <t>Yes, maximising storage value</t>
  </si>
  <si>
    <t>Yes, with no limit</t>
  </si>
  <si>
    <t>Yes, with an allocation model</t>
  </si>
  <si>
    <t>Storage parameters</t>
  </si>
  <si>
    <t>In response to Q52 (individual parameters: 0.25, max=9*0.25=2.25), Rationale: the more explicit parameterisation of storage is scored higher.</t>
  </si>
  <si>
    <t>Ancillary services</t>
  </si>
  <si>
    <t>Capacity value</t>
  </si>
  <si>
    <t>Cost</t>
  </si>
  <si>
    <t>Learning rate</t>
  </si>
  <si>
    <t>Limited alternatives</t>
  </si>
  <si>
    <t>Load variability</t>
  </si>
  <si>
    <t>VRE share in the system</t>
  </si>
  <si>
    <t>VRE variability</t>
  </si>
  <si>
    <t>In response to Q54 (not explicit=0, three limiting parameters each 0.25, two enabling constraints each 0.5: 3 * 0.25 + 1 * 0.5 = 1.25 max), Rationale: Limiting constraints on the uptake of storage are scored lower, while enabling, flexible uptake is scored higher. Hard constraints cannot be added to other constraints.</t>
  </si>
  <si>
    <t>Dynmaic constraints (learning)</t>
  </si>
  <si>
    <t>Hard constraints on storage</t>
  </si>
  <si>
    <t>Input constraints (sites, potential, materials, etc.)</t>
  </si>
  <si>
    <t>No limit compared to alternatives</t>
  </si>
  <si>
    <t>Dimension-total</t>
  </si>
  <si>
    <t>VRE integration (SRF)</t>
  </si>
  <si>
    <t>VRE technology</t>
  </si>
  <si>
    <t>In response to Q28 (max 8 items, 0.25 point per item). Note: Solar PV (general) cannot be added to the rooftop or utility if reported separately.</t>
  </si>
  <si>
    <t>Concentrated solar power (CSP)</t>
  </si>
  <si>
    <t>Offshore wind</t>
  </si>
  <si>
    <t>Onshore wind</t>
  </si>
  <si>
    <t>Riverhydro</t>
  </si>
  <si>
    <t>Tidal/wave power</t>
  </si>
  <si>
    <t>Solar PV (general)</t>
  </si>
  <si>
    <t>Solar PV (rooftop)</t>
  </si>
  <si>
    <t>Solar PV (utility)</t>
  </si>
  <si>
    <t>VRE parameters</t>
  </si>
  <si>
    <t>Cost (direct)</t>
  </si>
  <si>
    <t>Integration cost</t>
  </si>
  <si>
    <t>Resource potential</t>
  </si>
  <si>
    <t>Technical parameters</t>
  </si>
  <si>
    <t>Variability</t>
  </si>
  <si>
    <t>Uncertainty</t>
  </si>
  <si>
    <t>Curtailment cost</t>
  </si>
  <si>
    <t>Grid expansion</t>
  </si>
  <si>
    <t>Grid management cost</t>
  </si>
  <si>
    <t>Reduced utilisation rate of non-VRE</t>
  </si>
  <si>
    <t>Short-term flexibility</t>
  </si>
  <si>
    <t>Storage (energy)</t>
  </si>
  <si>
    <t>In response to Q33 (max 6 items, +0.25 point per item, 0 per hard limiting items (e.g., max share of VRE))</t>
  </si>
  <si>
    <t>Economic cost of integration</t>
  </si>
  <si>
    <t>From survey detail row: Integration constraints</t>
  </si>
  <si>
    <t>Firm capacity needs by non-VRE</t>
  </si>
  <si>
    <t>Max share of VRE</t>
  </si>
  <si>
    <t>Technical issues in integration</t>
  </si>
  <si>
    <t>VRE-load mismatch</t>
  </si>
  <si>
    <t>Flexibility portfolio</t>
  </si>
  <si>
    <t>In response to Question 35 (14 different alternatives listed, each 0.25 point). Electricity storage and hydrogen are added if missing, based on the response to other questions.</t>
  </si>
  <si>
    <t>Curtailing load (unserved energy)</t>
  </si>
  <si>
    <t>Curtailment of VRE</t>
  </si>
  <si>
    <t>Demand-response, buildings</t>
  </si>
  <si>
    <t>Demand resposne, industry</t>
  </si>
  <si>
    <t>Demand resposne, transport</t>
  </si>
  <si>
    <t>Electricity exchange (grid connection)</t>
  </si>
  <si>
    <t>Electricity to capture CO2</t>
  </si>
  <si>
    <t>Flexible generation, hydro</t>
  </si>
  <si>
    <t>Flexible generation, nuclear</t>
  </si>
  <si>
    <t>Flexible generation, thermal</t>
  </si>
  <si>
    <t>Power to heat</t>
  </si>
  <si>
    <t>Power to heat to power</t>
  </si>
  <si>
    <t>Power to hydrogen/e-fuels</t>
  </si>
  <si>
    <t>Temporal representation (SRF)</t>
  </si>
  <si>
    <t>Spatial representation (SRF)</t>
  </si>
  <si>
    <t>In response to Q9: 0: Europe as one region, 1: Europe in 2-3 subregions, 2: Multi-country, 3: Country level, 4: Sub-national</t>
  </si>
  <si>
    <t>In response to Q10: 0: Coarse copperplate, 1: Copperplate, 2: Transmission level, 3: Distribution level</t>
  </si>
  <si>
    <t>MESSAGEix</t>
  </si>
  <si>
    <t>Temporal resolution</t>
  </si>
  <si>
    <t>Temporal modelling</t>
  </si>
  <si>
    <t>Dimension</t>
  </si>
  <si>
    <t>Criterion</t>
  </si>
  <si>
    <t>Subtotal</t>
  </si>
  <si>
    <t>Number of models</t>
  </si>
  <si>
    <t>Storage needed to firm VRE-based electricity</t>
  </si>
  <si>
    <t>Count</t>
  </si>
  <si>
    <t>Explicit storage 
representation</t>
  </si>
  <si>
    <t>Breadth in 
VRE modelling</t>
  </si>
  <si>
    <t>Temporal
representation</t>
  </si>
  <si>
    <t>Spatial 
structure</t>
  </si>
  <si>
    <t>Technical representation</t>
  </si>
  <si>
    <t>Capacity factor</t>
  </si>
  <si>
    <t>In response to Q41 ( 0.25 per parameter, max=14*0.25=3.5).</t>
  </si>
  <si>
    <t>Charging/discharge capacity separately</t>
  </si>
  <si>
    <t>Degradation due to operating cycles</t>
  </si>
  <si>
    <t>Depth of discharge</t>
  </si>
  <si>
    <t>Duration of discharge (energy to power ratio) (h)</t>
  </si>
  <si>
    <t>Efficiency (roundtrip)</t>
  </si>
  <si>
    <t>Efficiency charge/discharge separately</t>
  </si>
  <si>
    <t>Lifetime (years or cycles)</t>
  </si>
  <si>
    <t>Power capacity (overall)</t>
  </si>
  <si>
    <t>Replacement</t>
  </si>
  <si>
    <t>State of charge (SoC)</t>
  </si>
  <si>
    <t>Storage balance (match start and end content within a year)</t>
  </si>
  <si>
    <t>Storage self-discharge (in the idle mode)</t>
  </si>
  <si>
    <t>Storage reservoir size (MWh)</t>
  </si>
  <si>
    <t>Economic parameters</t>
  </si>
  <si>
    <t>In response to Q43 ( 0.25 per parameter, max=6*0.25=1.5).</t>
  </si>
  <si>
    <t>Capital cost</t>
  </si>
  <si>
    <t>Cost of storage is not relevant or not represented</t>
  </si>
  <si>
    <t>End-of-lifetime cost or resale</t>
  </si>
  <si>
    <t>Fixed O&amp;M cost</t>
  </si>
  <si>
    <t>Replacement or major retrofit cost</t>
  </si>
  <si>
    <t>Variable O&amp;M cost</t>
  </si>
  <si>
    <t>Storage integration</t>
  </si>
  <si>
    <t>Applications and services</t>
  </si>
  <si>
    <t>Integration constraints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</si>
</sst>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4" x14ac:knownFonts="1">
    <font>
      <sz val="11"/>
      <color theme="1"/>
      <name val="Calibri"/>
      <family val="2"/>
      <scheme val="minor"/>
    </font>
    <font>
      <b/>
      <sz val="11"/>
      <color theme="1"/>
      <name val="Calibri"/>
      <family val="2"/>
      <scheme val="minor"/>
    </font>
    <font>
      <sz val="8"/>
      <name val="Calibri"/>
      <family val="2"/>
      <scheme val="minor"/>
    </font>
    <font>
      <b/>
      <sz val="11"/>
      <name val="Calibri"/>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13">
    <border>
      <left/>
      <right/>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9">
    <xf numFmtId="0" fontId="0" fillId="0" borderId="0" xfId="0"/>
    <xf numFmtId="164" fontId="0" fillId="0" borderId="0" xfId="0" applyNumberFormat="1"/>
    <xf numFmtId="0" fontId="0" fillId="0" borderId="0" xfId="0" quotePrefix="1"/>
    <xf numFmtId="0" fontId="1" fillId="2" borderId="0" xfId="0" applyFont="1" applyFill="1"/>
    <xf numFmtId="0" fontId="1" fillId="0" borderId="0" xfId="0" applyFont="1"/>
    <xf numFmtId="0" fontId="3" fillId="3" borderId="1" xfId="0" applyFont="1" applyFill="1" applyBorder="1" applyAlignment="1">
      <alignment horizontal="left" vertical="top"/>
    </xf>
    <xf numFmtId="0" fontId="0" fillId="0" borderId="2" xfId="0" applyBorder="1"/>
    <xf numFmtId="0" fontId="0" fillId="0" borderId="3" xfId="0" applyBorder="1"/>
    <xf numFmtId="0" fontId="0" fillId="0" borderId="4" xfId="0" applyBorder="1"/>
    <xf numFmtId="0" fontId="1" fillId="0" borderId="5" xfId="0" applyFont="1" applyBorder="1"/>
    <xf numFmtId="0" fontId="0" fillId="0" borderId="6" xfId="0" applyBorder="1"/>
    <xf numFmtId="0" fontId="1" fillId="2" borderId="6" xfId="0" applyFont="1" applyFill="1" applyBorder="1"/>
    <xf numFmtId="0" fontId="1" fillId="2" borderId="7" xfId="0" applyFont="1" applyFill="1"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applyAlignment="1">
      <alignment wrapText="1"/>
    </xf>
  </cellXfs>
  <cellStyles count="1">
    <cellStyle name="Normal" xfId="0" builtinId="0"/>
  </cellStyles>
  <dxfs count="6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N10" totalsRowShown="0">
  <autoFilter ref="A1:BN10" xr:uid="{00000000-0009-0000-0100-000001000000}"/>
  <tableColumns count="66">
    <tableColumn id="1" xr3:uid="{00000000-0010-0000-0000-000001000000}" name="ID" dataDxfId="65"/>
    <tableColumn id="2" xr3:uid="{00000000-0010-0000-0000-000002000000}" name="Start time" dataDxfId="64"/>
    <tableColumn id="3" xr3:uid="{00000000-0010-0000-0000-000003000000}" name="Completion time" dataDxfId="63"/>
    <tableColumn id="4" xr3:uid="{00000000-0010-0000-0000-000004000000}" name="Email" dataDxfId="62"/>
    <tableColumn id="5" xr3:uid="{00000000-0010-0000-0000-000005000000}" name="Name" dataDxfId="61"/>
    <tableColumn id="6" xr3:uid="{00000000-0010-0000-0000-000006000000}" name="Last modified time" dataDxfId="60"/>
    <tableColumn id="7" xr3:uid="{00000000-0010-0000-0000-000007000000}" name="Your full name (Firstname Lastname):" dataDxfId="59"/>
    <tableColumn id="8" xr3:uid="{00000000-0010-0000-0000-000008000000}" name="Your email address (will be used only if follow-up clarifications would be needed):" dataDxfId="58"/>
    <tableColumn id="9" xr3:uid="{00000000-0010-0000-0000-000009000000}" name="Your organization:" dataDxfId="57"/>
    <tableColumn id="10" xr3:uid="{00000000-0010-0000-0000-00000A000000}" name="For the model/scenarios of which work package (WP), are you filling out this survey?" dataDxfId="56"/>
    <tableColumn id="11" xr3:uid="{00000000-0010-0000-0000-00000B000000}" name="The name of the modeling tool for which you fill out the survey:" dataDxfId="55"/>
    <tableColumn id="12" xr3:uid="{00000000-0010-0000-0000-00000C000000}" name="What is the main category of the model?" dataDxfId="54"/>
    <tableColumn id="13" xr3:uid="{00000000-0010-0000-0000-00000D000000}" name="What option describes your modeling approach best?" dataDxfId="53"/>
    <tableColumn id="14" xr3:uid="{00000000-0010-0000-0000-00000E000000}" name="What geographical scope presents your model best?" dataDxfId="52"/>
    <tableColumn id="15" xr3:uid="{00000000-0010-0000-0000-00000F000000}" name="What is the spatial resolution of your model concerning the EU region?" dataDxfId="51"/>
    <tableColumn id="16" xr3:uid="{00000000-0010-0000-0000-000010000000}" name="What level(s) of the electricity network is represented in your model?" dataDxfId="50"/>
    <tableColumn id="17" xr3:uid="{00000000-0010-0000-0000-000011000000}" name="How are cross-border transmission lines between EU countries represented in your model?" dataDxfId="49"/>
    <tableColumn id="18" xr3:uid="{00000000-0010-0000-0000-000012000000}" name="How the planning foresight is treated in your model:" dataDxfId="48"/>
    <tableColumn id="19" xr3:uid="{00000000-0010-0000-0000-000013000000}" name="What time intervals are considered in the model horizon? (Please tick all that apply)" dataDxfId="47"/>
    <tableColumn id="20" xr3:uid="{00000000-0010-0000-0000-000014000000}" name="What planning/modeling horizon is used in your analysis?" dataDxfId="46"/>
    <tableColumn id="21" xr3:uid="{00000000-0010-0000-0000-000015000000}" name="How is the sub-annual temporal resolution represented in your model?" dataDxfId="45"/>
    <tableColumn id="22" xr3:uid="{00000000-0010-0000-0000-000016000000}" name="If you answered &quot;Representative time slices&quot; or &quot;Other&quot;, please explain. For example, the method of sampling/clustering and/or the length of time slices." dataDxfId="44"/>
    <tableColumn id="23" xr3:uid="{00000000-0010-0000-0000-000017000000}" name="Is the chronology of (sub-annual) time slices preserved in your modeling work?" dataDxfId="43"/>
    <tableColumn id="24" xr3:uid="{00000000-0010-0000-0000-000018000000}" name="Is the joint variability of supply and demand resources in each sub-annual time slice captured in your model? This means, e.g., the timeseries of wind, solar PV, and demand are all concurrent with..." dataDxfId="42"/>
    <tableColumn id="25" xr3:uid="{00000000-0010-0000-0000-000019000000}" name="How are short-term operational events represented in your model? Short-term decisions are in the scale of hours to a few days including generator scheduling, ramping rates, flexibility requirement..." dataDxfId="41"/>
    <tableColumn id="26" xr3:uid="{00000000-0010-0000-0000-00001A000000}" name="If short-term decisions are not represented explicitly in your model, how is the relevant parametrization done? Check all relevant answers." dataDxfId="40"/>
    <tableColumn id="27" xr3:uid="{00000000-0010-0000-0000-00001B000000}" name="How are short-term decisions linked to long-term infrastructure planning and investment decisions in your model? Long-term decisions refer to multi-decadal decisions such as investment in power pl..." dataDxfId="39"/>
    <tableColumn id="28" xr3:uid="{00000000-0010-0000-0000-00001C000000}" name="Is the weather uncertainty in multiple years included in your model parameters?" dataDxfId="38"/>
    <tableColumn id="29" xr3:uid="{00000000-0010-0000-0000-00001D000000}" name="What future uncertainties are considered when representing sub-annual temporal variability in your model parameters? Here, we refer to those events not driven by socioeconomic developments or cost..." dataDxfId="37"/>
    <tableColumn id="30" xr3:uid="{00000000-0010-0000-0000-00001E000000}" name="What is the level of granularity in representing technologies in your model?" dataDxfId="36"/>
    <tableColumn id="31" xr3:uid="{00000000-0010-0000-0000-00001F000000}" name=" Which of the following demand and supply-side sectors are included in your model? Please choose all that apply." dataDxfId="35"/>
    <tableColumn id="32" xr3:uid="{00000000-0010-0000-0000-000020000000}" name="How electricity demand is represented in your model?" dataDxfId="34"/>
    <tableColumn id="33" xr3:uid="{00000000-0010-0000-0000-000021000000}" name="If your answer was &quot;Other&quot;, please explain:" dataDxfId="33"/>
    <tableColumn id="34" xr3:uid="{00000000-0010-0000-0000-000022000000}" name="Which VRE sources are represented in your model? Please choose all that apply." dataDxfId="32"/>
    <tableColumn id="35" xr3:uid="{00000000-0010-0000-0000-000023000000}" name="What aspect(s) of VRE is represented in the model? Please choose all that apply." dataDxfId="31"/>
    <tableColumn id="36" xr3:uid="{00000000-0010-0000-0000-000024000000}" name="What VRE integration costs or requirements are modeled explicitly, i.e., depending on the capacity/generation of VRE? Please choose all that apply." dataDxfId="30"/>
    <tableColumn id="37" xr3:uid="{00000000-0010-0000-0000-000025000000}" name="Please explain the representation of VRE integration in your model, if it cannot be described by the options above or in case of ticking &quot;Other&quot;." dataDxfId="29"/>
    <tableColumn id="38" xr3:uid="{00000000-0010-0000-0000-000026000000}" name="Can load be technically met only by VRE in a given (sub-annual) time slice in your model?" dataDxfId="28"/>
    <tableColumn id="39" xr3:uid="{00000000-0010-0000-0000-000027000000}" name="What constraints limit the penetration of VRE in your model? Please choose all that apply." dataDxfId="27"/>
    <tableColumn id="40" xr3:uid="{00000000-0010-0000-0000-000028000000}" name="Please explain any additional points considering the constraints in your model that would limit the penetration of VRE, e.g., to meet 100% of the load." dataDxfId="26"/>
    <tableColumn id="41" xr3:uid="{00000000-0010-0000-0000-000029000000}" name="How the mismatch between electricity from VRE and load can be balanced in your model? Please choose all that apply." dataDxfId="25"/>
    <tableColumn id="42" xr3:uid="{00000000-0010-0000-0000-00002A000000}" name="Have you explicitly modeled one or several electricity storage technologies in your model?" dataDxfId="24"/>
    <tableColumn id="43" xr3:uid="{00000000-0010-0000-0000-00002B000000}" name="What forms of storage duration are considered in your model? The storage duration can be attributed to the choice of technology, e.g., batteries for the short and pumped hydro for the long term. P..." dataDxfId="23"/>
    <tableColumn id="44" xr3:uid="{00000000-0010-0000-0000-00002C000000}" name="What storage technology categories are represented in your model? Please choose all that apply." dataDxfId="22"/>
    <tableColumn id="45" xr3:uid="{00000000-0010-0000-0000-00002D000000}" name="Do you represent various storage technologies within a category (e.g., different battery chemistries) in your model?" dataDxfId="21"/>
    <tableColumn id="46" xr3:uid="{00000000-0010-0000-0000-00002E000000}" name="Please list technologies represented within each category mentioned above, only for applicable categories (e.g., Batteries: Li-ion, Lead-acid)." dataDxfId="20"/>
    <tableColumn id="47" xr3:uid="{00000000-0010-0000-0000-00002F000000}" name="What technical characteristics of electricity storage are modeled explicitly? Please choose all that apply." dataDxfId="19"/>
    <tableColumn id="48" xr3:uid="{00000000-0010-0000-0000-000030000000}" name="If applicable, please list other characteristics of storage represented in your model that are not listed above:" dataDxfId="18"/>
    <tableColumn id="49" xr3:uid="{00000000-0010-0000-0000-000031000000}" name="What economic characteristics of electricity storage are modeled explicitly? (O&amp;M = operation and maintenance). Please choose all that apply." dataDxfId="17"/>
    <tableColumn id="50" xr3:uid="{00000000-0010-0000-0000-000032000000}" name="Are the costs of the power conversion system (PCS) and the storage reservoir/container represented separately in your model?" dataDxfId="16"/>
    <tableColumn id="51" xr3:uid="{00000000-0010-0000-0000-000033000000}" name="Which service categories are relevant for storage technologies in your model? Please tick all that apply." dataDxfId="15"/>
    <tableColumn id="52" xr3:uid="{00000000-0010-0000-0000-000034000000}" name="Where are storage technologies represented in your model? Please tick all that apply." dataDxfId="14"/>
    <tableColumn id="53" xr3:uid="{00000000-0010-0000-0000-000035000000}" name="Which energy-related storage services are represented in your model? Please tick all that apply." dataDxfId="13"/>
    <tableColumn id="54" xr3:uid="{00000000-0010-0000-0000-000036000000}" name="Which power capacity-related storage services are represented in your model? Please tick all that apply." dataDxfId="12"/>
    <tableColumn id="55" xr3:uid="{00000000-0010-0000-0000-000037000000}" name="Which T&amp;D-related storage services are represented in your model? Please tick all that apply." dataDxfId="11"/>
    <tableColumn id="56" xr3:uid="{00000000-0010-0000-0000-000038000000}" name="Which storage services concerning VRE are represented in your model? Please tick all that apply." dataDxfId="10"/>
    <tableColumn id="57" xr3:uid="{00000000-0010-0000-0000-000039000000}" name="Please briefly explain the way energy storage can support the integration of VRE in your model, if not fully covered through the questions asked above." dataDxfId="9"/>
    <tableColumn id="58" xr3:uid="{00000000-0010-0000-0000-00003A000000}" name="Which one of the following parameters affects the deployment of energy storage technologies in your model positively? Please tick all that apply." dataDxfId="8"/>
    <tableColumn id="59" xr3:uid="{00000000-0010-0000-0000-00003B000000}" name="Please explain if the answer included &quot;Other&quot; and/or if you would like to add explanations." dataDxfId="7"/>
    <tableColumn id="60" xr3:uid="{00000000-0010-0000-0000-00003C000000}" name="How is the system integration of electricity storage constrained in your model? Please tick all that apply." dataDxfId="6"/>
    <tableColumn id="61" xr3:uid="{00000000-0010-0000-0000-00003D000000}" name="Can storage technologies contribute to multiple services  in your model? This functionality known as &quot;revenue stacking&quot; or &quot;aggregation of benefits&quot; allows a storage provider to offer energy-, cap..." dataDxfId="5"/>
    <tableColumn id="62" xr3:uid="{00000000-0010-0000-0000-00003E000000}" name="How is the ownership of storage and its revenues represented in your model?" dataDxfId="4"/>
    <tableColumn id="63" xr3:uid="{00000000-0010-0000-0000-00003F000000}" name="Please add any points related to the integration of energy storage in your model that you believe are not covered in the previous questions." dataDxfId="3"/>
    <tableColumn id="64" xr3:uid="{00000000-0010-0000-0000-000040000000}" name="Are energy storage technologies and their parameters treated differently based on the modeled scenario in your work? (e.g., more optimistic energy storage cost assumptions in electrification scena..." dataDxfId="2"/>
    <tableColumn id="65" xr3:uid="{00000000-0010-0000-0000-000041000000}" name="If relevant, please explain your scenario-specific assumptions concerning storage technologies briefly. For example, do you consider different storage performance/cost parameters or storage integr..." dataDxfId="1"/>
    <tableColumn id="66" xr3:uid="{00000000-0010-0000-0000-000042000000}" name="(Only for the teams in the ECEMF project) We need additional variables for conducting the storage analysis. Please tick all Priority 1 variables that you can report for your scenario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0"/>
  <sheetViews>
    <sheetView workbookViewId="0">
      <selection activeCell="A4" sqref="A4:XFD4"/>
    </sheetView>
  </sheetViews>
  <sheetFormatPr defaultRowHeight="14.4" x14ac:dyDescent="0.3"/>
  <cols>
    <col min="1" max="66" width="20" bestFit="1" customWidth="1"/>
  </cols>
  <sheetData>
    <row r="1" spans="1:6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row>
    <row r="2" spans="1:66" x14ac:dyDescent="0.3">
      <c r="A2">
        <v>2</v>
      </c>
      <c r="B2" s="1">
        <v>45552.525034722203</v>
      </c>
      <c r="C2" s="1">
        <v>45552.536643518499</v>
      </c>
      <c r="D2" t="s">
        <v>66</v>
      </c>
      <c r="F2" s="1"/>
      <c r="G2" t="s">
        <v>67</v>
      </c>
      <c r="H2" t="s">
        <v>68</v>
      </c>
      <c r="I2" t="s">
        <v>69</v>
      </c>
      <c r="J2" t="s">
        <v>70</v>
      </c>
      <c r="K2" t="s">
        <v>71</v>
      </c>
      <c r="L2" t="s">
        <v>72</v>
      </c>
      <c r="M2" t="s">
        <v>73</v>
      </c>
      <c r="N2" t="s">
        <v>74</v>
      </c>
      <c r="O2" t="s">
        <v>75</v>
      </c>
      <c r="P2" t="s">
        <v>76</v>
      </c>
      <c r="Q2" t="s">
        <v>77</v>
      </c>
      <c r="R2" t="s">
        <v>78</v>
      </c>
      <c r="S2" t="s">
        <v>79</v>
      </c>
      <c r="T2" t="s">
        <v>80</v>
      </c>
      <c r="U2" t="s">
        <v>81</v>
      </c>
      <c r="Y2" t="s">
        <v>82</v>
      </c>
      <c r="Z2" t="s">
        <v>83</v>
      </c>
      <c r="AA2" t="s">
        <v>84</v>
      </c>
      <c r="AB2" t="s">
        <v>85</v>
      </c>
      <c r="AC2" t="s">
        <v>86</v>
      </c>
      <c r="AD2" t="s">
        <v>87</v>
      </c>
      <c r="AE2" t="s">
        <v>88</v>
      </c>
      <c r="AF2" t="s">
        <v>89</v>
      </c>
      <c r="AH2" t="s">
        <v>90</v>
      </c>
      <c r="AI2" t="s">
        <v>91</v>
      </c>
      <c r="AJ2" t="s">
        <v>92</v>
      </c>
      <c r="AL2" t="s">
        <v>93</v>
      </c>
      <c r="AM2" t="s">
        <v>94</v>
      </c>
      <c r="AO2" t="s">
        <v>95</v>
      </c>
      <c r="AP2" t="s">
        <v>96</v>
      </c>
      <c r="AQ2" t="s">
        <v>97</v>
      </c>
      <c r="AR2" t="s">
        <v>98</v>
      </c>
      <c r="AS2" t="s">
        <v>99</v>
      </c>
      <c r="AU2" t="s">
        <v>100</v>
      </c>
      <c r="AW2" t="s">
        <v>101</v>
      </c>
      <c r="AX2" t="s">
        <v>102</v>
      </c>
      <c r="AY2" t="s">
        <v>103</v>
      </c>
      <c r="AZ2" t="s">
        <v>104</v>
      </c>
      <c r="BA2" t="s">
        <v>105</v>
      </c>
      <c r="BB2" t="s">
        <v>106</v>
      </c>
      <c r="BC2" t="s">
        <v>107</v>
      </c>
      <c r="BD2" t="s">
        <v>108</v>
      </c>
      <c r="BF2" t="s">
        <v>109</v>
      </c>
      <c r="BH2" t="s">
        <v>110</v>
      </c>
      <c r="BI2" t="s">
        <v>111</v>
      </c>
      <c r="BJ2" t="s">
        <v>111</v>
      </c>
      <c r="BL2" t="s">
        <v>96</v>
      </c>
      <c r="BM2" t="s">
        <v>112</v>
      </c>
      <c r="BN2" t="s">
        <v>113</v>
      </c>
    </row>
    <row r="3" spans="1:66" x14ac:dyDescent="0.3">
      <c r="A3">
        <v>3</v>
      </c>
      <c r="B3" s="1">
        <v>45552.551655092597</v>
      </c>
      <c r="C3" s="1">
        <v>45552.636828703697</v>
      </c>
      <c r="D3" t="s">
        <v>66</v>
      </c>
      <c r="F3" s="1"/>
      <c r="G3" t="s">
        <v>114</v>
      </c>
      <c r="H3" t="s">
        <v>115</v>
      </c>
      <c r="I3" t="s">
        <v>116</v>
      </c>
      <c r="J3" t="s">
        <v>117</v>
      </c>
      <c r="K3" t="s">
        <v>118</v>
      </c>
      <c r="L3" t="s">
        <v>72</v>
      </c>
      <c r="M3" t="s">
        <v>119</v>
      </c>
      <c r="N3" t="s">
        <v>74</v>
      </c>
      <c r="O3" t="s">
        <v>75</v>
      </c>
      <c r="P3" t="s">
        <v>76</v>
      </c>
      <c r="Q3" t="s">
        <v>120</v>
      </c>
      <c r="R3" t="s">
        <v>121</v>
      </c>
      <c r="S3" t="s">
        <v>79</v>
      </c>
      <c r="T3" t="s">
        <v>122</v>
      </c>
      <c r="U3" t="s">
        <v>123</v>
      </c>
      <c r="W3" t="s">
        <v>99</v>
      </c>
      <c r="X3" t="s">
        <v>124</v>
      </c>
      <c r="Y3" t="s">
        <v>125</v>
      </c>
      <c r="Z3" t="s">
        <v>126</v>
      </c>
      <c r="AA3" t="s">
        <v>84</v>
      </c>
      <c r="AB3" t="s">
        <v>127</v>
      </c>
      <c r="AC3" t="s">
        <v>128</v>
      </c>
      <c r="AD3" t="s">
        <v>129</v>
      </c>
      <c r="AE3" t="s">
        <v>130</v>
      </c>
      <c r="AF3" t="s">
        <v>131</v>
      </c>
      <c r="AG3" t="s">
        <v>131</v>
      </c>
      <c r="AH3" t="s">
        <v>132</v>
      </c>
      <c r="AI3" t="s">
        <v>133</v>
      </c>
      <c r="AJ3" t="s">
        <v>134</v>
      </c>
      <c r="AL3" t="s">
        <v>135</v>
      </c>
      <c r="AM3" t="s">
        <v>136</v>
      </c>
      <c r="AN3" t="s">
        <v>137</v>
      </c>
      <c r="AO3" t="s">
        <v>138</v>
      </c>
      <c r="AP3" t="s">
        <v>139</v>
      </c>
      <c r="AQ3" t="s">
        <v>140</v>
      </c>
      <c r="AR3" t="s">
        <v>141</v>
      </c>
      <c r="AS3" t="s">
        <v>99</v>
      </c>
      <c r="AU3" t="s">
        <v>142</v>
      </c>
      <c r="AW3" t="s">
        <v>143</v>
      </c>
      <c r="AX3" t="s">
        <v>102</v>
      </c>
      <c r="AY3" t="s">
        <v>144</v>
      </c>
      <c r="AZ3" t="s">
        <v>145</v>
      </c>
      <c r="BA3" t="s">
        <v>146</v>
      </c>
      <c r="BB3" t="s">
        <v>147</v>
      </c>
      <c r="BC3" t="s">
        <v>148</v>
      </c>
      <c r="BD3" t="s">
        <v>149</v>
      </c>
      <c r="BF3" t="s">
        <v>150</v>
      </c>
      <c r="BH3" t="s">
        <v>151</v>
      </c>
      <c r="BI3" t="s">
        <v>152</v>
      </c>
      <c r="BJ3" t="s">
        <v>153</v>
      </c>
      <c r="BL3" t="s">
        <v>96</v>
      </c>
      <c r="BM3" t="s">
        <v>154</v>
      </c>
      <c r="BN3" t="s">
        <v>155</v>
      </c>
    </row>
    <row r="4" spans="1:66" x14ac:dyDescent="0.3">
      <c r="A4">
        <v>5</v>
      </c>
      <c r="B4" s="1">
        <v>45558.574583333299</v>
      </c>
      <c r="C4" s="1">
        <v>45558.621284722198</v>
      </c>
      <c r="D4" t="s">
        <v>66</v>
      </c>
      <c r="F4" s="1"/>
      <c r="G4" t="s">
        <v>162</v>
      </c>
      <c r="H4" t="s">
        <v>163</v>
      </c>
      <c r="I4" t="s">
        <v>164</v>
      </c>
      <c r="J4" t="s">
        <v>165</v>
      </c>
      <c r="K4" t="s">
        <v>166</v>
      </c>
      <c r="L4" t="s">
        <v>167</v>
      </c>
      <c r="M4" t="s">
        <v>119</v>
      </c>
      <c r="N4" t="s">
        <v>168</v>
      </c>
      <c r="O4" t="s">
        <v>169</v>
      </c>
      <c r="P4" t="s">
        <v>76</v>
      </c>
      <c r="Q4" t="s">
        <v>170</v>
      </c>
      <c r="R4" t="s">
        <v>156</v>
      </c>
      <c r="S4" t="s">
        <v>171</v>
      </c>
      <c r="T4" t="s">
        <v>80</v>
      </c>
      <c r="U4" t="s">
        <v>172</v>
      </c>
      <c r="V4" t="s">
        <v>173</v>
      </c>
      <c r="W4" t="s">
        <v>96</v>
      </c>
      <c r="X4" t="s">
        <v>157</v>
      </c>
      <c r="Y4" t="s">
        <v>125</v>
      </c>
      <c r="Z4" t="s">
        <v>83</v>
      </c>
      <c r="AA4" t="s">
        <v>158</v>
      </c>
      <c r="AB4" t="s">
        <v>85</v>
      </c>
      <c r="AC4" t="s">
        <v>174</v>
      </c>
      <c r="AD4" t="s">
        <v>87</v>
      </c>
      <c r="AE4" t="s">
        <v>175</v>
      </c>
      <c r="AF4" t="s">
        <v>159</v>
      </c>
      <c r="AH4" t="s">
        <v>176</v>
      </c>
      <c r="AI4" t="s">
        <v>177</v>
      </c>
      <c r="AJ4" t="s">
        <v>178</v>
      </c>
      <c r="AK4" t="s">
        <v>179</v>
      </c>
      <c r="AL4" t="s">
        <v>135</v>
      </c>
      <c r="AM4" t="s">
        <v>180</v>
      </c>
      <c r="AO4" t="s">
        <v>181</v>
      </c>
      <c r="AP4" t="s">
        <v>96</v>
      </c>
      <c r="AQ4" t="s">
        <v>182</v>
      </c>
      <c r="AR4" t="s">
        <v>183</v>
      </c>
      <c r="AS4" t="s">
        <v>99</v>
      </c>
      <c r="AU4" t="s">
        <v>184</v>
      </c>
      <c r="AW4" t="s">
        <v>160</v>
      </c>
      <c r="AX4" t="s">
        <v>185</v>
      </c>
      <c r="AY4" t="s">
        <v>186</v>
      </c>
      <c r="AZ4" t="s">
        <v>187</v>
      </c>
      <c r="BA4" t="s">
        <v>188</v>
      </c>
      <c r="BB4" t="s">
        <v>106</v>
      </c>
      <c r="BC4" t="s">
        <v>189</v>
      </c>
      <c r="BD4" t="s">
        <v>190</v>
      </c>
      <c r="BF4" t="s">
        <v>191</v>
      </c>
      <c r="BH4" t="s">
        <v>192</v>
      </c>
      <c r="BI4" t="s">
        <v>152</v>
      </c>
      <c r="BJ4" t="s">
        <v>153</v>
      </c>
      <c r="BL4" t="s">
        <v>161</v>
      </c>
      <c r="BM4" s="2" t="s">
        <v>193</v>
      </c>
      <c r="BN4" t="s">
        <v>194</v>
      </c>
    </row>
    <row r="5" spans="1:66" x14ac:dyDescent="0.3">
      <c r="A5">
        <v>7</v>
      </c>
      <c r="B5" s="1">
        <v>45561.504189814797</v>
      </c>
      <c r="C5" s="1">
        <v>45561.509178240703</v>
      </c>
      <c r="D5" t="s">
        <v>66</v>
      </c>
      <c r="F5" s="1"/>
      <c r="G5" t="s">
        <v>196</v>
      </c>
      <c r="H5" t="s">
        <v>197</v>
      </c>
      <c r="I5" t="s">
        <v>198</v>
      </c>
      <c r="J5" t="s">
        <v>199</v>
      </c>
      <c r="K5" t="s">
        <v>200</v>
      </c>
      <c r="L5" t="s">
        <v>72</v>
      </c>
      <c r="M5" t="s">
        <v>201</v>
      </c>
      <c r="N5" t="s">
        <v>74</v>
      </c>
      <c r="O5" t="s">
        <v>202</v>
      </c>
      <c r="P5" t="s">
        <v>76</v>
      </c>
      <c r="Q5" t="s">
        <v>77</v>
      </c>
      <c r="R5" t="s">
        <v>156</v>
      </c>
      <c r="S5" t="s">
        <v>171</v>
      </c>
      <c r="T5" t="s">
        <v>122</v>
      </c>
      <c r="U5" t="s">
        <v>81</v>
      </c>
      <c r="Y5" t="s">
        <v>82</v>
      </c>
      <c r="Z5" t="s">
        <v>83</v>
      </c>
      <c r="AA5" t="s">
        <v>203</v>
      </c>
      <c r="AB5" t="s">
        <v>99</v>
      </c>
      <c r="AC5" t="s">
        <v>86</v>
      </c>
      <c r="AD5" t="s">
        <v>87</v>
      </c>
      <c r="AE5" t="s">
        <v>204</v>
      </c>
      <c r="AF5" t="s">
        <v>159</v>
      </c>
      <c r="AH5" t="s">
        <v>90</v>
      </c>
      <c r="AI5" t="s">
        <v>205</v>
      </c>
      <c r="AJ5" t="s">
        <v>206</v>
      </c>
      <c r="AL5" t="s">
        <v>207</v>
      </c>
      <c r="AM5" t="s">
        <v>208</v>
      </c>
      <c r="AO5" t="s">
        <v>209</v>
      </c>
      <c r="AP5" t="s">
        <v>139</v>
      </c>
      <c r="AQ5" t="s">
        <v>210</v>
      </c>
      <c r="AR5" t="s">
        <v>211</v>
      </c>
      <c r="AS5" t="s">
        <v>99</v>
      </c>
      <c r="AU5" t="s">
        <v>212</v>
      </c>
      <c r="AW5" t="s">
        <v>213</v>
      </c>
      <c r="AX5" t="s">
        <v>102</v>
      </c>
      <c r="AY5" t="s">
        <v>214</v>
      </c>
      <c r="AZ5" t="s">
        <v>215</v>
      </c>
      <c r="BA5" t="s">
        <v>105</v>
      </c>
      <c r="BB5" t="s">
        <v>216</v>
      </c>
      <c r="BC5" t="s">
        <v>107</v>
      </c>
      <c r="BD5" t="s">
        <v>217</v>
      </c>
      <c r="BF5" t="s">
        <v>218</v>
      </c>
      <c r="BH5" t="s">
        <v>219</v>
      </c>
      <c r="BI5" t="s">
        <v>152</v>
      </c>
      <c r="BJ5" t="s">
        <v>153</v>
      </c>
      <c r="BL5" t="s">
        <v>161</v>
      </c>
      <c r="BM5" t="s">
        <v>220</v>
      </c>
      <c r="BN5" t="s">
        <v>221</v>
      </c>
    </row>
    <row r="6" spans="1:66" x14ac:dyDescent="0.3">
      <c r="A6">
        <v>8</v>
      </c>
      <c r="B6" s="1">
        <v>45562.449363425898</v>
      </c>
      <c r="C6" s="1">
        <v>45562.487418981502</v>
      </c>
      <c r="D6" t="s">
        <v>66</v>
      </c>
      <c r="F6" s="1"/>
      <c r="G6" t="s">
        <v>222</v>
      </c>
      <c r="H6" t="s">
        <v>223</v>
      </c>
      <c r="I6" t="s">
        <v>224</v>
      </c>
      <c r="J6" t="s">
        <v>70</v>
      </c>
      <c r="K6" t="s">
        <v>225</v>
      </c>
      <c r="L6" t="s">
        <v>72</v>
      </c>
      <c r="M6" t="s">
        <v>119</v>
      </c>
      <c r="N6" t="s">
        <v>74</v>
      </c>
      <c r="O6" t="s">
        <v>75</v>
      </c>
      <c r="P6" t="s">
        <v>76</v>
      </c>
      <c r="Q6" t="s">
        <v>226</v>
      </c>
      <c r="R6" t="s">
        <v>156</v>
      </c>
      <c r="S6" t="s">
        <v>227</v>
      </c>
      <c r="T6" t="s">
        <v>122</v>
      </c>
      <c r="U6" t="s">
        <v>228</v>
      </c>
      <c r="W6" t="s">
        <v>99</v>
      </c>
      <c r="X6" t="s">
        <v>229</v>
      </c>
      <c r="Y6" t="s">
        <v>230</v>
      </c>
      <c r="Z6" t="s">
        <v>231</v>
      </c>
      <c r="AA6" t="s">
        <v>158</v>
      </c>
      <c r="AB6" t="s">
        <v>99</v>
      </c>
      <c r="AC6" t="s">
        <v>128</v>
      </c>
      <c r="AD6" t="s">
        <v>129</v>
      </c>
      <c r="AE6" t="s">
        <v>130</v>
      </c>
      <c r="AF6" t="s">
        <v>89</v>
      </c>
      <c r="AH6" t="s">
        <v>195</v>
      </c>
      <c r="AI6" t="s">
        <v>232</v>
      </c>
      <c r="AJ6" t="s">
        <v>233</v>
      </c>
      <c r="AL6" t="s">
        <v>135</v>
      </c>
      <c r="AM6" t="s">
        <v>234</v>
      </c>
      <c r="AO6" t="s">
        <v>235</v>
      </c>
      <c r="AP6" t="s">
        <v>99</v>
      </c>
      <c r="AQ6" t="s">
        <v>236</v>
      </c>
      <c r="AR6" t="s">
        <v>237</v>
      </c>
      <c r="AS6" t="s">
        <v>99</v>
      </c>
      <c r="AU6" t="s">
        <v>238</v>
      </c>
      <c r="AV6" t="s">
        <v>239</v>
      </c>
      <c r="AW6" t="s">
        <v>238</v>
      </c>
      <c r="AX6" t="s">
        <v>240</v>
      </c>
      <c r="AY6" t="s">
        <v>241</v>
      </c>
      <c r="AZ6" t="s">
        <v>107</v>
      </c>
      <c r="BA6" t="s">
        <v>242</v>
      </c>
      <c r="BB6" t="s">
        <v>238</v>
      </c>
      <c r="BC6" t="s">
        <v>107</v>
      </c>
      <c r="BD6" t="s">
        <v>238</v>
      </c>
      <c r="BF6" t="s">
        <v>107</v>
      </c>
      <c r="BH6" t="s">
        <v>107</v>
      </c>
      <c r="BI6" t="s">
        <v>111</v>
      </c>
      <c r="BJ6" t="s">
        <v>111</v>
      </c>
      <c r="BL6" t="s">
        <v>161</v>
      </c>
      <c r="BM6" t="s">
        <v>239</v>
      </c>
      <c r="BN6" t="s">
        <v>243</v>
      </c>
    </row>
    <row r="7" spans="1:66" x14ac:dyDescent="0.3">
      <c r="A7">
        <v>10</v>
      </c>
      <c r="B7" s="1">
        <v>45565.721875000003</v>
      </c>
      <c r="C7" s="1">
        <v>45565.8832638889</v>
      </c>
      <c r="D7" t="s">
        <v>66</v>
      </c>
      <c r="F7" s="1"/>
      <c r="G7" t="s">
        <v>245</v>
      </c>
      <c r="H7" t="s">
        <v>246</v>
      </c>
      <c r="I7" t="s">
        <v>247</v>
      </c>
      <c r="J7" t="s">
        <v>70</v>
      </c>
      <c r="K7" t="s">
        <v>248</v>
      </c>
      <c r="L7" t="s">
        <v>72</v>
      </c>
      <c r="M7" t="s">
        <v>249</v>
      </c>
      <c r="N7" t="s">
        <v>74</v>
      </c>
      <c r="O7" t="s">
        <v>169</v>
      </c>
      <c r="P7" t="s">
        <v>76</v>
      </c>
      <c r="Q7" t="s">
        <v>250</v>
      </c>
      <c r="R7" t="s">
        <v>156</v>
      </c>
      <c r="S7" t="s">
        <v>171</v>
      </c>
      <c r="T7" t="s">
        <v>122</v>
      </c>
      <c r="U7" t="s">
        <v>251</v>
      </c>
      <c r="V7" t="s">
        <v>252</v>
      </c>
      <c r="W7" t="s">
        <v>253</v>
      </c>
      <c r="X7" t="s">
        <v>229</v>
      </c>
      <c r="Y7" t="s">
        <v>82</v>
      </c>
      <c r="Z7" t="s">
        <v>83</v>
      </c>
      <c r="AA7" t="s">
        <v>84</v>
      </c>
      <c r="AB7" t="s">
        <v>99</v>
      </c>
      <c r="AC7" t="s">
        <v>128</v>
      </c>
      <c r="AD7" t="s">
        <v>129</v>
      </c>
      <c r="AE7" t="s">
        <v>130</v>
      </c>
      <c r="AF7" t="s">
        <v>89</v>
      </c>
      <c r="AH7" t="s">
        <v>195</v>
      </c>
      <c r="AI7" t="s">
        <v>254</v>
      </c>
      <c r="AJ7" t="s">
        <v>255</v>
      </c>
      <c r="AL7" t="s">
        <v>93</v>
      </c>
      <c r="AM7" t="s">
        <v>256</v>
      </c>
      <c r="AN7" t="s">
        <v>257</v>
      </c>
      <c r="AO7" t="s">
        <v>258</v>
      </c>
      <c r="AP7" t="s">
        <v>96</v>
      </c>
      <c r="AQ7" t="s">
        <v>236</v>
      </c>
      <c r="AR7" t="s">
        <v>259</v>
      </c>
      <c r="AS7" t="s">
        <v>99</v>
      </c>
      <c r="AU7" t="s">
        <v>260</v>
      </c>
      <c r="AW7" t="s">
        <v>261</v>
      </c>
      <c r="AX7" t="s">
        <v>102</v>
      </c>
      <c r="AY7" t="s">
        <v>262</v>
      </c>
      <c r="AZ7" t="s">
        <v>104</v>
      </c>
      <c r="BA7" t="s">
        <v>263</v>
      </c>
      <c r="BB7" t="s">
        <v>263</v>
      </c>
      <c r="BC7" t="s">
        <v>107</v>
      </c>
      <c r="BD7" t="s">
        <v>190</v>
      </c>
      <c r="BE7" t="s">
        <v>264</v>
      </c>
      <c r="BF7" t="s">
        <v>150</v>
      </c>
      <c r="BH7" t="s">
        <v>265</v>
      </c>
      <c r="BI7" t="s">
        <v>266</v>
      </c>
      <c r="BJ7" t="s">
        <v>111</v>
      </c>
      <c r="BL7" t="s">
        <v>96</v>
      </c>
      <c r="BM7" t="s">
        <v>267</v>
      </c>
      <c r="BN7" t="s">
        <v>268</v>
      </c>
    </row>
    <row r="8" spans="1:66" x14ac:dyDescent="0.3">
      <c r="A8">
        <v>11</v>
      </c>
      <c r="B8" s="1">
        <v>45570.865358796298</v>
      </c>
      <c r="C8" s="1">
        <v>45570.880671296298</v>
      </c>
      <c r="D8" t="s">
        <v>66</v>
      </c>
      <c r="F8" s="1"/>
      <c r="G8" t="s">
        <v>269</v>
      </c>
      <c r="H8" t="s">
        <v>270</v>
      </c>
      <c r="I8" t="s">
        <v>271</v>
      </c>
      <c r="J8" t="s">
        <v>165</v>
      </c>
      <c r="K8" t="s">
        <v>272</v>
      </c>
      <c r="L8" t="s">
        <v>72</v>
      </c>
      <c r="M8" t="s">
        <v>119</v>
      </c>
      <c r="N8" t="s">
        <v>74</v>
      </c>
      <c r="O8" t="s">
        <v>75</v>
      </c>
      <c r="P8" t="s">
        <v>76</v>
      </c>
      <c r="Q8" t="s">
        <v>120</v>
      </c>
      <c r="R8" t="s">
        <v>156</v>
      </c>
      <c r="S8" t="s">
        <v>227</v>
      </c>
      <c r="T8" t="s">
        <v>122</v>
      </c>
      <c r="U8" t="s">
        <v>81</v>
      </c>
      <c r="Y8" t="s">
        <v>82</v>
      </c>
      <c r="Z8" t="s">
        <v>273</v>
      </c>
      <c r="AA8" t="s">
        <v>84</v>
      </c>
      <c r="AB8" t="s">
        <v>274</v>
      </c>
      <c r="AC8" t="s">
        <v>128</v>
      </c>
      <c r="AD8" t="s">
        <v>129</v>
      </c>
      <c r="AE8" t="s">
        <v>130</v>
      </c>
      <c r="AF8" t="s">
        <v>275</v>
      </c>
      <c r="AH8" t="s">
        <v>195</v>
      </c>
      <c r="AI8" t="s">
        <v>276</v>
      </c>
      <c r="AJ8" t="s">
        <v>277</v>
      </c>
      <c r="AL8" t="s">
        <v>93</v>
      </c>
      <c r="AM8" t="s">
        <v>278</v>
      </c>
      <c r="AO8" t="s">
        <v>279</v>
      </c>
      <c r="AP8" t="s">
        <v>96</v>
      </c>
      <c r="AQ8" t="s">
        <v>97</v>
      </c>
      <c r="AR8" t="s">
        <v>98</v>
      </c>
      <c r="AS8" t="s">
        <v>99</v>
      </c>
      <c r="AU8" t="s">
        <v>280</v>
      </c>
      <c r="AW8" t="s">
        <v>281</v>
      </c>
      <c r="AX8" t="s">
        <v>102</v>
      </c>
      <c r="AY8" t="s">
        <v>282</v>
      </c>
      <c r="AZ8" t="s">
        <v>283</v>
      </c>
      <c r="BA8" t="s">
        <v>105</v>
      </c>
      <c r="BB8" t="s">
        <v>106</v>
      </c>
      <c r="BC8" t="s">
        <v>148</v>
      </c>
      <c r="BD8" t="s">
        <v>284</v>
      </c>
      <c r="BF8" t="s">
        <v>285</v>
      </c>
      <c r="BH8" t="s">
        <v>286</v>
      </c>
      <c r="BI8" t="s">
        <v>287</v>
      </c>
      <c r="BJ8" t="s">
        <v>153</v>
      </c>
      <c r="BL8" t="s">
        <v>161</v>
      </c>
      <c r="BM8" t="s">
        <v>288</v>
      </c>
      <c r="BN8" t="s">
        <v>289</v>
      </c>
    </row>
    <row r="9" spans="1:66" x14ac:dyDescent="0.3">
      <c r="A9">
        <v>13</v>
      </c>
      <c r="B9" s="1">
        <v>45999.111435185201</v>
      </c>
      <c r="C9" s="1">
        <v>45999.359745370399</v>
      </c>
      <c r="D9" t="s">
        <v>66</v>
      </c>
      <c r="F9" s="1"/>
      <c r="G9" t="s">
        <v>291</v>
      </c>
      <c r="H9" t="s">
        <v>292</v>
      </c>
      <c r="I9" t="s">
        <v>293</v>
      </c>
      <c r="J9" t="s">
        <v>294</v>
      </c>
      <c r="K9" t="s">
        <v>295</v>
      </c>
      <c r="L9" t="s">
        <v>296</v>
      </c>
      <c r="M9" t="s">
        <v>297</v>
      </c>
      <c r="N9" t="s">
        <v>74</v>
      </c>
      <c r="O9" t="s">
        <v>75</v>
      </c>
      <c r="P9" t="s">
        <v>76</v>
      </c>
      <c r="Q9" t="s">
        <v>77</v>
      </c>
      <c r="R9" t="s">
        <v>121</v>
      </c>
      <c r="S9" t="s">
        <v>79</v>
      </c>
      <c r="T9" t="s">
        <v>122</v>
      </c>
      <c r="U9" t="s">
        <v>172</v>
      </c>
      <c r="V9" t="s">
        <v>298</v>
      </c>
      <c r="W9" t="s">
        <v>99</v>
      </c>
      <c r="X9" t="s">
        <v>299</v>
      </c>
      <c r="Y9" t="s">
        <v>244</v>
      </c>
      <c r="AD9" t="s">
        <v>129</v>
      </c>
      <c r="AE9" t="s">
        <v>130</v>
      </c>
      <c r="AF9" t="s">
        <v>89</v>
      </c>
      <c r="AH9" t="s">
        <v>300</v>
      </c>
      <c r="AI9" t="s">
        <v>301</v>
      </c>
      <c r="AJ9" t="s">
        <v>302</v>
      </c>
      <c r="AK9" t="s">
        <v>303</v>
      </c>
      <c r="AL9" t="s">
        <v>135</v>
      </c>
      <c r="AM9" t="s">
        <v>304</v>
      </c>
      <c r="AO9" t="s">
        <v>305</v>
      </c>
      <c r="AP9" t="s">
        <v>96</v>
      </c>
      <c r="AQ9" t="s">
        <v>306</v>
      </c>
      <c r="AR9" t="s">
        <v>307</v>
      </c>
      <c r="AS9" t="s">
        <v>99</v>
      </c>
      <c r="AU9" t="s">
        <v>308</v>
      </c>
      <c r="AW9" t="s">
        <v>261</v>
      </c>
      <c r="AX9" t="s">
        <v>102</v>
      </c>
      <c r="AY9" t="s">
        <v>186</v>
      </c>
      <c r="AZ9" t="s">
        <v>104</v>
      </c>
      <c r="BA9" t="s">
        <v>309</v>
      </c>
      <c r="BB9" t="s">
        <v>310</v>
      </c>
      <c r="BC9" t="s">
        <v>311</v>
      </c>
      <c r="BD9" t="s">
        <v>312</v>
      </c>
      <c r="BE9" t="s">
        <v>313</v>
      </c>
      <c r="BF9" t="s">
        <v>314</v>
      </c>
      <c r="BH9" t="s">
        <v>315</v>
      </c>
      <c r="BI9" t="s">
        <v>287</v>
      </c>
      <c r="BJ9" t="s">
        <v>153</v>
      </c>
      <c r="BL9" t="s">
        <v>161</v>
      </c>
      <c r="BM9" t="s">
        <v>316</v>
      </c>
      <c r="BN9" t="s">
        <v>294</v>
      </c>
    </row>
    <row r="10" spans="1:66" x14ac:dyDescent="0.3">
      <c r="A10">
        <v>14</v>
      </c>
      <c r="B10" s="1">
        <v>46013.769687499997</v>
      </c>
      <c r="C10" s="1">
        <v>46013.8421759259</v>
      </c>
      <c r="D10" t="s">
        <v>66</v>
      </c>
      <c r="F10" s="1"/>
      <c r="G10" t="s">
        <v>347</v>
      </c>
      <c r="H10" t="s">
        <v>348</v>
      </c>
      <c r="I10" t="s">
        <v>349</v>
      </c>
      <c r="J10" t="s">
        <v>350</v>
      </c>
      <c r="K10" t="s">
        <v>330</v>
      </c>
      <c r="L10" t="s">
        <v>72</v>
      </c>
      <c r="M10" t="s">
        <v>73</v>
      </c>
      <c r="N10" t="s">
        <v>74</v>
      </c>
      <c r="O10" t="s">
        <v>75</v>
      </c>
      <c r="P10" t="s">
        <v>76</v>
      </c>
      <c r="Q10" t="s">
        <v>77</v>
      </c>
      <c r="R10" t="s">
        <v>121</v>
      </c>
      <c r="S10" t="s">
        <v>171</v>
      </c>
      <c r="T10" t="s">
        <v>122</v>
      </c>
      <c r="U10" t="s">
        <v>81</v>
      </c>
      <c r="Y10" t="s">
        <v>244</v>
      </c>
      <c r="AD10" t="s">
        <v>129</v>
      </c>
      <c r="AE10" t="s">
        <v>130</v>
      </c>
      <c r="AF10" t="s">
        <v>89</v>
      </c>
      <c r="AH10" t="s">
        <v>331</v>
      </c>
      <c r="AI10" t="s">
        <v>290</v>
      </c>
      <c r="AJ10" t="s">
        <v>332</v>
      </c>
      <c r="AL10" t="s">
        <v>93</v>
      </c>
      <c r="AM10" t="s">
        <v>333</v>
      </c>
      <c r="AN10" t="s">
        <v>334</v>
      </c>
      <c r="AO10" t="s">
        <v>335</v>
      </c>
      <c r="AP10" t="s">
        <v>96</v>
      </c>
      <c r="AQ10" t="s">
        <v>336</v>
      </c>
      <c r="AR10" t="s">
        <v>337</v>
      </c>
      <c r="AS10" t="s">
        <v>99</v>
      </c>
      <c r="AU10" t="s">
        <v>338</v>
      </c>
      <c r="AW10" t="s">
        <v>281</v>
      </c>
      <c r="AX10" t="s">
        <v>102</v>
      </c>
      <c r="AY10" t="s">
        <v>262</v>
      </c>
      <c r="AZ10" t="s">
        <v>339</v>
      </c>
      <c r="BA10" t="s">
        <v>340</v>
      </c>
      <c r="BB10" t="s">
        <v>106</v>
      </c>
      <c r="BC10" t="s">
        <v>107</v>
      </c>
      <c r="BD10" t="s">
        <v>341</v>
      </c>
      <c r="BE10" t="s">
        <v>342</v>
      </c>
      <c r="BF10" t="s">
        <v>343</v>
      </c>
      <c r="BH10" t="s">
        <v>110</v>
      </c>
      <c r="BI10" t="s">
        <v>111</v>
      </c>
      <c r="BJ10" t="s">
        <v>344</v>
      </c>
      <c r="BL10" t="s">
        <v>96</v>
      </c>
      <c r="BM10" t="s">
        <v>345</v>
      </c>
      <c r="BN10" t="s">
        <v>294</v>
      </c>
    </row>
  </sheetData>
  <phoneticPr fontId="2"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3C12D-2529-429A-9B20-EC8644FB1F1C}">
  <dimension ref="A1:Q56"/>
  <sheetViews>
    <sheetView workbookViewId="0">
      <pane ySplit="1" topLeftCell="A2" activePane="bottomLeft" state="frozen"/>
      <selection pane="bottomLeft" activeCell="K21" sqref="K21"/>
    </sheetView>
  </sheetViews>
  <sheetFormatPr defaultRowHeight="14.4" x14ac:dyDescent="0.3"/>
  <cols>
    <col min="4" max="4" width="79.33203125" customWidth="1"/>
    <col min="8" max="8" width="17.88671875" customWidth="1"/>
    <col min="9" max="9" width="14.33203125" customWidth="1"/>
    <col min="11" max="11" width="11.88671875" customWidth="1"/>
  </cols>
  <sheetData>
    <row r="1" spans="1:17" x14ac:dyDescent="0.3">
      <c r="A1" s="3" t="s">
        <v>352</v>
      </c>
      <c r="B1" s="3" t="s">
        <v>351</v>
      </c>
      <c r="C1" s="3" t="s">
        <v>317</v>
      </c>
      <c r="D1" s="3" t="s">
        <v>10</v>
      </c>
      <c r="E1" s="3" t="s">
        <v>295</v>
      </c>
      <c r="F1" s="3" t="s">
        <v>346</v>
      </c>
      <c r="G1" s="3" t="s">
        <v>118</v>
      </c>
      <c r="H1" s="3" t="s">
        <v>272</v>
      </c>
      <c r="I1" s="3" t="s">
        <v>71</v>
      </c>
      <c r="J1" s="3" t="s">
        <v>248</v>
      </c>
      <c r="K1" s="3" t="s">
        <v>225</v>
      </c>
      <c r="L1" s="3" t="s">
        <v>200</v>
      </c>
      <c r="M1" s="3"/>
      <c r="N1" s="3"/>
      <c r="O1" s="3"/>
      <c r="P1" s="3"/>
      <c r="Q1" s="3"/>
    </row>
    <row r="2" spans="1:17" x14ac:dyDescent="0.3">
      <c r="D2" t="s">
        <v>11</v>
      </c>
      <c r="E2" t="s">
        <v>296</v>
      </c>
      <c r="F2" t="s">
        <v>72</v>
      </c>
      <c r="G2" t="s">
        <v>72</v>
      </c>
      <c r="H2" t="s">
        <v>72</v>
      </c>
      <c r="I2" t="s">
        <v>72</v>
      </c>
      <c r="J2" t="s">
        <v>72</v>
      </c>
      <c r="K2" t="s">
        <v>72</v>
      </c>
      <c r="L2" t="s">
        <v>72</v>
      </c>
    </row>
    <row r="3" spans="1:17" x14ac:dyDescent="0.3">
      <c r="A3">
        <v>1</v>
      </c>
      <c r="D3" t="s">
        <v>12</v>
      </c>
      <c r="E3" t="s">
        <v>297</v>
      </c>
      <c r="F3" t="s">
        <v>73</v>
      </c>
      <c r="G3" t="s">
        <v>119</v>
      </c>
      <c r="H3" t="s">
        <v>119</v>
      </c>
      <c r="I3" t="s">
        <v>73</v>
      </c>
      <c r="J3" t="s">
        <v>249</v>
      </c>
      <c r="K3" t="s">
        <v>119</v>
      </c>
      <c r="L3" t="s">
        <v>201</v>
      </c>
    </row>
    <row r="4" spans="1:17" x14ac:dyDescent="0.3">
      <c r="D4" t="s">
        <v>13</v>
      </c>
      <c r="E4" t="s">
        <v>74</v>
      </c>
      <c r="F4" t="s">
        <v>74</v>
      </c>
      <c r="G4" t="s">
        <v>74</v>
      </c>
      <c r="H4" t="s">
        <v>74</v>
      </c>
      <c r="I4" t="s">
        <v>74</v>
      </c>
      <c r="J4" t="s">
        <v>74</v>
      </c>
      <c r="K4" t="s">
        <v>74</v>
      </c>
      <c r="L4" t="s">
        <v>74</v>
      </c>
    </row>
    <row r="5" spans="1:17" x14ac:dyDescent="0.3">
      <c r="A5">
        <v>1</v>
      </c>
      <c r="D5" t="s">
        <v>14</v>
      </c>
      <c r="E5" t="s">
        <v>75</v>
      </c>
      <c r="F5" t="s">
        <v>75</v>
      </c>
      <c r="G5" t="s">
        <v>75</v>
      </c>
      <c r="H5" t="s">
        <v>75</v>
      </c>
      <c r="I5" t="s">
        <v>75</v>
      </c>
      <c r="J5" t="s">
        <v>169</v>
      </c>
      <c r="K5" t="s">
        <v>75</v>
      </c>
      <c r="L5" t="s">
        <v>202</v>
      </c>
    </row>
    <row r="6" spans="1:17" x14ac:dyDescent="0.3">
      <c r="A6">
        <v>1</v>
      </c>
      <c r="D6" t="s">
        <v>15</v>
      </c>
      <c r="E6" t="s">
        <v>76</v>
      </c>
      <c r="F6" t="s">
        <v>76</v>
      </c>
      <c r="G6" t="s">
        <v>76</v>
      </c>
      <c r="H6" t="s">
        <v>76</v>
      </c>
      <c r="I6" t="s">
        <v>76</v>
      </c>
      <c r="J6" t="s">
        <v>76</v>
      </c>
      <c r="K6" t="s">
        <v>76</v>
      </c>
      <c r="L6" t="s">
        <v>76</v>
      </c>
    </row>
    <row r="7" spans="1:17" x14ac:dyDescent="0.3">
      <c r="A7">
        <v>1</v>
      </c>
      <c r="D7" t="s">
        <v>16</v>
      </c>
      <c r="E7" t="s">
        <v>77</v>
      </c>
      <c r="F7" t="s">
        <v>77</v>
      </c>
      <c r="G7" t="s">
        <v>120</v>
      </c>
      <c r="H7" t="s">
        <v>120</v>
      </c>
      <c r="I7" t="s">
        <v>77</v>
      </c>
      <c r="J7" t="s">
        <v>250</v>
      </c>
      <c r="K7" t="s">
        <v>226</v>
      </c>
      <c r="L7" t="s">
        <v>77</v>
      </c>
    </row>
    <row r="8" spans="1:17" x14ac:dyDescent="0.3">
      <c r="A8">
        <v>1</v>
      </c>
      <c r="D8" t="s">
        <v>17</v>
      </c>
      <c r="E8" t="s">
        <v>121</v>
      </c>
      <c r="F8" t="s">
        <v>121</v>
      </c>
      <c r="G8" t="s">
        <v>121</v>
      </c>
      <c r="H8" t="s">
        <v>156</v>
      </c>
      <c r="I8" t="s">
        <v>78</v>
      </c>
      <c r="J8" t="s">
        <v>156</v>
      </c>
      <c r="K8" t="s">
        <v>156</v>
      </c>
      <c r="L8" t="s">
        <v>156</v>
      </c>
    </row>
    <row r="9" spans="1:17" x14ac:dyDescent="0.3">
      <c r="D9" t="s">
        <v>18</v>
      </c>
      <c r="E9" t="s">
        <v>79</v>
      </c>
      <c r="F9" t="s">
        <v>171</v>
      </c>
      <c r="G9" t="s">
        <v>79</v>
      </c>
      <c r="H9" t="s">
        <v>227</v>
      </c>
      <c r="I9" t="s">
        <v>79</v>
      </c>
      <c r="J9" t="s">
        <v>171</v>
      </c>
      <c r="K9" t="s">
        <v>227</v>
      </c>
      <c r="L9" t="s">
        <v>171</v>
      </c>
    </row>
    <row r="10" spans="1:17" x14ac:dyDescent="0.3">
      <c r="D10" t="s">
        <v>19</v>
      </c>
      <c r="E10" t="s">
        <v>122</v>
      </c>
      <c r="F10" t="s">
        <v>122</v>
      </c>
      <c r="G10" t="s">
        <v>122</v>
      </c>
      <c r="H10" t="s">
        <v>122</v>
      </c>
      <c r="I10" t="s">
        <v>80</v>
      </c>
      <c r="J10" t="s">
        <v>122</v>
      </c>
      <c r="K10" t="s">
        <v>122</v>
      </c>
      <c r="L10" t="s">
        <v>122</v>
      </c>
    </row>
    <row r="11" spans="1:17" x14ac:dyDescent="0.3">
      <c r="A11">
        <v>1</v>
      </c>
      <c r="D11" t="s">
        <v>20</v>
      </c>
      <c r="E11" t="s">
        <v>172</v>
      </c>
      <c r="F11" t="s">
        <v>81</v>
      </c>
      <c r="G11" t="s">
        <v>123</v>
      </c>
      <c r="H11" t="s">
        <v>81</v>
      </c>
      <c r="I11" t="s">
        <v>81</v>
      </c>
      <c r="J11" t="s">
        <v>251</v>
      </c>
      <c r="K11" t="s">
        <v>228</v>
      </c>
      <c r="L11" t="s">
        <v>81</v>
      </c>
    </row>
    <row r="12" spans="1:17" x14ac:dyDescent="0.3">
      <c r="D12" t="s">
        <v>21</v>
      </c>
      <c r="E12" t="s">
        <v>298</v>
      </c>
      <c r="J12" t="s">
        <v>252</v>
      </c>
    </row>
    <row r="13" spans="1:17" x14ac:dyDescent="0.3">
      <c r="A13">
        <v>1</v>
      </c>
      <c r="D13" t="s">
        <v>22</v>
      </c>
      <c r="E13" t="s">
        <v>99</v>
      </c>
      <c r="G13" t="s">
        <v>99</v>
      </c>
      <c r="J13" t="s">
        <v>253</v>
      </c>
      <c r="K13" t="s">
        <v>99</v>
      </c>
    </row>
    <row r="14" spans="1:17" x14ac:dyDescent="0.3">
      <c r="A14">
        <v>1</v>
      </c>
      <c r="D14" t="s">
        <v>23</v>
      </c>
      <c r="E14" t="s">
        <v>299</v>
      </c>
      <c r="G14" t="s">
        <v>124</v>
      </c>
      <c r="J14" t="s">
        <v>229</v>
      </c>
      <c r="K14" t="s">
        <v>229</v>
      </c>
    </row>
    <row r="15" spans="1:17" x14ac:dyDescent="0.3">
      <c r="A15">
        <v>1</v>
      </c>
      <c r="D15" t="s">
        <v>24</v>
      </c>
      <c r="E15" t="s">
        <v>244</v>
      </c>
      <c r="F15" t="s">
        <v>244</v>
      </c>
      <c r="G15" t="s">
        <v>125</v>
      </c>
      <c r="H15" t="s">
        <v>82</v>
      </c>
      <c r="I15" t="s">
        <v>82</v>
      </c>
      <c r="J15" t="s">
        <v>82</v>
      </c>
      <c r="K15" t="s">
        <v>230</v>
      </c>
      <c r="L15" t="s">
        <v>82</v>
      </c>
    </row>
    <row r="16" spans="1:17" x14ac:dyDescent="0.3">
      <c r="A16">
        <v>1</v>
      </c>
      <c r="D16" t="s">
        <v>25</v>
      </c>
      <c r="G16" t="s">
        <v>126</v>
      </c>
      <c r="H16" t="s">
        <v>273</v>
      </c>
      <c r="I16" t="s">
        <v>83</v>
      </c>
      <c r="J16" t="s">
        <v>83</v>
      </c>
      <c r="K16" t="s">
        <v>231</v>
      </c>
      <c r="L16" t="s">
        <v>83</v>
      </c>
    </row>
    <row r="17" spans="1:12" x14ac:dyDescent="0.3">
      <c r="A17">
        <v>1</v>
      </c>
      <c r="D17" t="s">
        <v>26</v>
      </c>
      <c r="G17" t="s">
        <v>84</v>
      </c>
      <c r="H17" t="s">
        <v>84</v>
      </c>
      <c r="I17" t="s">
        <v>84</v>
      </c>
      <c r="J17" t="s">
        <v>84</v>
      </c>
      <c r="K17" t="s">
        <v>158</v>
      </c>
      <c r="L17" t="s">
        <v>203</v>
      </c>
    </row>
    <row r="18" spans="1:12" x14ac:dyDescent="0.3">
      <c r="A18">
        <v>1</v>
      </c>
      <c r="D18" t="s">
        <v>27</v>
      </c>
      <c r="G18" t="s">
        <v>127</v>
      </c>
      <c r="H18" t="s">
        <v>274</v>
      </c>
      <c r="I18" t="s">
        <v>85</v>
      </c>
      <c r="J18" t="s">
        <v>99</v>
      </c>
      <c r="K18" t="s">
        <v>99</v>
      </c>
      <c r="L18" t="s">
        <v>99</v>
      </c>
    </row>
    <row r="19" spans="1:12" x14ac:dyDescent="0.3">
      <c r="D19" t="s">
        <v>28</v>
      </c>
      <c r="G19" t="s">
        <v>128</v>
      </c>
      <c r="H19" t="s">
        <v>128</v>
      </c>
      <c r="I19" t="s">
        <v>86</v>
      </c>
      <c r="J19" t="s">
        <v>128</v>
      </c>
      <c r="K19" t="s">
        <v>128</v>
      </c>
      <c r="L19" t="s">
        <v>86</v>
      </c>
    </row>
    <row r="20" spans="1:12" x14ac:dyDescent="0.3">
      <c r="D20" t="s">
        <v>29</v>
      </c>
      <c r="E20" t="s">
        <v>129</v>
      </c>
      <c r="F20" t="s">
        <v>129</v>
      </c>
      <c r="G20" t="s">
        <v>129</v>
      </c>
      <c r="H20" t="s">
        <v>129</v>
      </c>
      <c r="I20" t="s">
        <v>87</v>
      </c>
      <c r="J20" t="s">
        <v>129</v>
      </c>
      <c r="K20" t="s">
        <v>129</v>
      </c>
      <c r="L20" t="s">
        <v>87</v>
      </c>
    </row>
    <row r="21" spans="1:12" x14ac:dyDescent="0.3">
      <c r="D21" t="s">
        <v>30</v>
      </c>
      <c r="E21" t="s">
        <v>130</v>
      </c>
      <c r="F21" t="s">
        <v>130</v>
      </c>
      <c r="G21" t="s">
        <v>130</v>
      </c>
      <c r="H21" t="s">
        <v>130</v>
      </c>
      <c r="I21" t="s">
        <v>88</v>
      </c>
      <c r="J21" t="s">
        <v>130</v>
      </c>
      <c r="K21" t="s">
        <v>130</v>
      </c>
      <c r="L21" t="s">
        <v>204</v>
      </c>
    </row>
    <row r="22" spans="1:12" x14ac:dyDescent="0.3">
      <c r="A22">
        <v>1</v>
      </c>
      <c r="D22" t="s">
        <v>31</v>
      </c>
      <c r="E22" t="s">
        <v>89</v>
      </c>
      <c r="F22" t="s">
        <v>89</v>
      </c>
      <c r="G22" t="s">
        <v>131</v>
      </c>
      <c r="H22" t="s">
        <v>275</v>
      </c>
      <c r="I22" t="s">
        <v>89</v>
      </c>
      <c r="J22" t="s">
        <v>89</v>
      </c>
      <c r="K22" t="s">
        <v>89</v>
      </c>
      <c r="L22" t="s">
        <v>159</v>
      </c>
    </row>
    <row r="23" spans="1:12" x14ac:dyDescent="0.3">
      <c r="D23" t="s">
        <v>32</v>
      </c>
      <c r="G23" t="s">
        <v>131</v>
      </c>
    </row>
    <row r="24" spans="1:12" x14ac:dyDescent="0.3">
      <c r="B24">
        <v>1</v>
      </c>
      <c r="D24" t="s">
        <v>33</v>
      </c>
      <c r="E24" t="s">
        <v>300</v>
      </c>
      <c r="F24" t="s">
        <v>331</v>
      </c>
      <c r="G24" t="s">
        <v>132</v>
      </c>
      <c r="H24" t="s">
        <v>195</v>
      </c>
      <c r="I24" t="s">
        <v>90</v>
      </c>
      <c r="J24" t="s">
        <v>195</v>
      </c>
      <c r="K24" t="s">
        <v>195</v>
      </c>
      <c r="L24" t="s">
        <v>90</v>
      </c>
    </row>
    <row r="25" spans="1:12" x14ac:dyDescent="0.3">
      <c r="B25">
        <v>1</v>
      </c>
      <c r="D25" t="s">
        <v>34</v>
      </c>
      <c r="E25" t="s">
        <v>301</v>
      </c>
      <c r="F25" t="s">
        <v>290</v>
      </c>
      <c r="G25" t="s">
        <v>133</v>
      </c>
      <c r="H25" t="s">
        <v>276</v>
      </c>
      <c r="I25" t="s">
        <v>91</v>
      </c>
      <c r="J25" t="s">
        <v>254</v>
      </c>
      <c r="K25" t="s">
        <v>232</v>
      </c>
      <c r="L25" t="s">
        <v>205</v>
      </c>
    </row>
    <row r="26" spans="1:12" x14ac:dyDescent="0.3">
      <c r="B26">
        <v>1</v>
      </c>
      <c r="D26" t="s">
        <v>35</v>
      </c>
      <c r="E26" t="s">
        <v>302</v>
      </c>
      <c r="F26" t="s">
        <v>332</v>
      </c>
      <c r="G26" t="s">
        <v>134</v>
      </c>
      <c r="H26" t="s">
        <v>277</v>
      </c>
      <c r="I26" t="s">
        <v>92</v>
      </c>
      <c r="J26" t="s">
        <v>255</v>
      </c>
      <c r="K26" t="s">
        <v>233</v>
      </c>
      <c r="L26" t="s">
        <v>206</v>
      </c>
    </row>
    <row r="27" spans="1:12" x14ac:dyDescent="0.3">
      <c r="D27" t="s">
        <v>36</v>
      </c>
      <c r="E27" t="s">
        <v>303</v>
      </c>
    </row>
    <row r="28" spans="1:12" x14ac:dyDescent="0.3">
      <c r="B28">
        <v>1</v>
      </c>
      <c r="D28" t="s">
        <v>37</v>
      </c>
      <c r="E28" t="s">
        <v>135</v>
      </c>
      <c r="F28" t="s">
        <v>93</v>
      </c>
      <c r="G28" t="s">
        <v>135</v>
      </c>
      <c r="H28" t="s">
        <v>93</v>
      </c>
      <c r="I28" t="s">
        <v>93</v>
      </c>
      <c r="J28" t="s">
        <v>93</v>
      </c>
      <c r="K28" t="s">
        <v>135</v>
      </c>
      <c r="L28" t="s">
        <v>207</v>
      </c>
    </row>
    <row r="29" spans="1:12" x14ac:dyDescent="0.3">
      <c r="B29">
        <v>1</v>
      </c>
      <c r="D29" t="s">
        <v>38</v>
      </c>
      <c r="E29" t="s">
        <v>304</v>
      </c>
      <c r="F29" t="s">
        <v>333</v>
      </c>
      <c r="G29" t="s">
        <v>136</v>
      </c>
      <c r="H29" t="s">
        <v>278</v>
      </c>
      <c r="I29" t="s">
        <v>94</v>
      </c>
      <c r="J29" t="s">
        <v>256</v>
      </c>
      <c r="K29" t="s">
        <v>234</v>
      </c>
      <c r="L29" t="s">
        <v>208</v>
      </c>
    </row>
    <row r="30" spans="1:12" x14ac:dyDescent="0.3">
      <c r="D30" t="s">
        <v>39</v>
      </c>
      <c r="F30" t="s">
        <v>334</v>
      </c>
      <c r="G30" t="s">
        <v>137</v>
      </c>
      <c r="J30" t="s">
        <v>257</v>
      </c>
    </row>
    <row r="31" spans="1:12" x14ac:dyDescent="0.3">
      <c r="B31">
        <v>1</v>
      </c>
      <c r="D31" t="s">
        <v>40</v>
      </c>
      <c r="E31" t="s">
        <v>305</v>
      </c>
      <c r="F31" t="s">
        <v>335</v>
      </c>
      <c r="G31" t="s">
        <v>138</v>
      </c>
      <c r="H31" t="s">
        <v>279</v>
      </c>
      <c r="I31" t="s">
        <v>95</v>
      </c>
      <c r="J31" t="s">
        <v>258</v>
      </c>
      <c r="K31" t="s">
        <v>235</v>
      </c>
      <c r="L31" t="s">
        <v>209</v>
      </c>
    </row>
    <row r="32" spans="1:12" x14ac:dyDescent="0.3">
      <c r="C32">
        <v>1</v>
      </c>
      <c r="D32" t="s">
        <v>41</v>
      </c>
      <c r="E32" t="s">
        <v>96</v>
      </c>
      <c r="F32" t="s">
        <v>96</v>
      </c>
      <c r="G32" t="s">
        <v>139</v>
      </c>
      <c r="H32" t="s">
        <v>96</v>
      </c>
      <c r="I32" t="s">
        <v>96</v>
      </c>
      <c r="J32" t="s">
        <v>96</v>
      </c>
      <c r="K32" t="s">
        <v>99</v>
      </c>
      <c r="L32" t="s">
        <v>139</v>
      </c>
    </row>
    <row r="33" spans="3:12" x14ac:dyDescent="0.3">
      <c r="C33">
        <v>1</v>
      </c>
      <c r="D33" t="s">
        <v>42</v>
      </c>
      <c r="E33" t="s">
        <v>306</v>
      </c>
      <c r="F33" t="s">
        <v>336</v>
      </c>
      <c r="G33" t="s">
        <v>140</v>
      </c>
      <c r="H33" t="s">
        <v>97</v>
      </c>
      <c r="I33" t="s">
        <v>97</v>
      </c>
      <c r="J33" t="s">
        <v>236</v>
      </c>
      <c r="K33" t="s">
        <v>236</v>
      </c>
      <c r="L33" t="s">
        <v>210</v>
      </c>
    </row>
    <row r="34" spans="3:12" x14ac:dyDescent="0.3">
      <c r="C34">
        <v>1</v>
      </c>
      <c r="D34" t="s">
        <v>43</v>
      </c>
      <c r="E34" t="s">
        <v>307</v>
      </c>
      <c r="F34" t="s">
        <v>337</v>
      </c>
      <c r="G34" t="s">
        <v>141</v>
      </c>
      <c r="H34" t="s">
        <v>98</v>
      </c>
      <c r="I34" t="s">
        <v>98</v>
      </c>
      <c r="J34" t="s">
        <v>259</v>
      </c>
      <c r="K34" t="s">
        <v>237</v>
      </c>
      <c r="L34" t="s">
        <v>211</v>
      </c>
    </row>
    <row r="35" spans="3:12" x14ac:dyDescent="0.3">
      <c r="C35">
        <v>1</v>
      </c>
      <c r="D35" t="s">
        <v>44</v>
      </c>
      <c r="E35" t="s">
        <v>99</v>
      </c>
      <c r="F35" t="s">
        <v>99</v>
      </c>
      <c r="G35" t="s">
        <v>99</v>
      </c>
      <c r="H35" t="s">
        <v>99</v>
      </c>
      <c r="I35" t="s">
        <v>99</v>
      </c>
      <c r="J35" t="s">
        <v>99</v>
      </c>
      <c r="K35" t="s">
        <v>99</v>
      </c>
      <c r="L35" t="s">
        <v>99</v>
      </c>
    </row>
    <row r="36" spans="3:12" x14ac:dyDescent="0.3">
      <c r="D36" t="s">
        <v>45</v>
      </c>
    </row>
    <row r="37" spans="3:12" x14ac:dyDescent="0.3">
      <c r="C37">
        <v>1</v>
      </c>
      <c r="D37" t="s">
        <v>46</v>
      </c>
      <c r="E37" t="s">
        <v>308</v>
      </c>
      <c r="F37" t="s">
        <v>338</v>
      </c>
      <c r="G37" t="s">
        <v>142</v>
      </c>
      <c r="H37" t="s">
        <v>280</v>
      </c>
      <c r="I37" t="s">
        <v>100</v>
      </c>
      <c r="J37" t="s">
        <v>260</v>
      </c>
      <c r="K37" t="s">
        <v>238</v>
      </c>
      <c r="L37" t="s">
        <v>212</v>
      </c>
    </row>
    <row r="38" spans="3:12" x14ac:dyDescent="0.3">
      <c r="D38" t="s">
        <v>47</v>
      </c>
      <c r="K38" t="s">
        <v>239</v>
      </c>
    </row>
    <row r="39" spans="3:12" x14ac:dyDescent="0.3">
      <c r="C39">
        <v>1</v>
      </c>
      <c r="D39" t="s">
        <v>48</v>
      </c>
      <c r="E39" t="s">
        <v>261</v>
      </c>
      <c r="F39" t="s">
        <v>281</v>
      </c>
      <c r="G39" t="s">
        <v>143</v>
      </c>
      <c r="H39" t="s">
        <v>281</v>
      </c>
      <c r="I39" t="s">
        <v>101</v>
      </c>
      <c r="J39" t="s">
        <v>261</v>
      </c>
      <c r="K39" t="s">
        <v>238</v>
      </c>
      <c r="L39" t="s">
        <v>213</v>
      </c>
    </row>
    <row r="40" spans="3:12" x14ac:dyDescent="0.3">
      <c r="D40" t="s">
        <v>49</v>
      </c>
      <c r="E40" t="s">
        <v>102</v>
      </c>
      <c r="F40" t="s">
        <v>102</v>
      </c>
      <c r="G40" t="s">
        <v>102</v>
      </c>
      <c r="H40" t="s">
        <v>102</v>
      </c>
      <c r="I40" t="s">
        <v>102</v>
      </c>
      <c r="J40" t="s">
        <v>102</v>
      </c>
      <c r="K40" t="s">
        <v>240</v>
      </c>
      <c r="L40" t="s">
        <v>102</v>
      </c>
    </row>
    <row r="41" spans="3:12" x14ac:dyDescent="0.3">
      <c r="C41">
        <v>1</v>
      </c>
      <c r="D41" t="s">
        <v>50</v>
      </c>
      <c r="E41" t="s">
        <v>186</v>
      </c>
      <c r="F41" t="s">
        <v>262</v>
      </c>
      <c r="G41" t="s">
        <v>144</v>
      </c>
      <c r="H41" t="s">
        <v>282</v>
      </c>
      <c r="I41" t="s">
        <v>103</v>
      </c>
      <c r="J41" t="s">
        <v>262</v>
      </c>
      <c r="K41" t="s">
        <v>241</v>
      </c>
      <c r="L41" t="s">
        <v>214</v>
      </c>
    </row>
    <row r="42" spans="3:12" x14ac:dyDescent="0.3">
      <c r="C42">
        <v>1</v>
      </c>
      <c r="D42" t="s">
        <v>51</v>
      </c>
      <c r="E42" t="s">
        <v>104</v>
      </c>
      <c r="F42" t="s">
        <v>339</v>
      </c>
      <c r="G42" t="s">
        <v>145</v>
      </c>
      <c r="H42" t="s">
        <v>283</v>
      </c>
      <c r="I42" t="s">
        <v>104</v>
      </c>
      <c r="J42" t="s">
        <v>104</v>
      </c>
      <c r="K42" t="s">
        <v>107</v>
      </c>
      <c r="L42" t="s">
        <v>215</v>
      </c>
    </row>
    <row r="43" spans="3:12" x14ac:dyDescent="0.3">
      <c r="C43">
        <v>1</v>
      </c>
      <c r="D43" t="s">
        <v>52</v>
      </c>
      <c r="E43" t="s">
        <v>309</v>
      </c>
      <c r="F43" t="s">
        <v>340</v>
      </c>
      <c r="G43" t="s">
        <v>146</v>
      </c>
      <c r="H43" t="s">
        <v>105</v>
      </c>
      <c r="I43" t="s">
        <v>105</v>
      </c>
      <c r="J43" t="s">
        <v>263</v>
      </c>
      <c r="K43" t="s">
        <v>242</v>
      </c>
      <c r="L43" t="s">
        <v>105</v>
      </c>
    </row>
    <row r="44" spans="3:12" x14ac:dyDescent="0.3">
      <c r="C44">
        <v>1</v>
      </c>
      <c r="D44" t="s">
        <v>53</v>
      </c>
      <c r="E44" t="s">
        <v>310</v>
      </c>
      <c r="F44" t="s">
        <v>106</v>
      </c>
      <c r="G44" t="s">
        <v>147</v>
      </c>
      <c r="H44" t="s">
        <v>106</v>
      </c>
      <c r="I44" t="s">
        <v>106</v>
      </c>
      <c r="J44" t="s">
        <v>263</v>
      </c>
      <c r="K44" t="s">
        <v>238</v>
      </c>
      <c r="L44" t="s">
        <v>216</v>
      </c>
    </row>
    <row r="45" spans="3:12" x14ac:dyDescent="0.3">
      <c r="C45">
        <v>1</v>
      </c>
      <c r="D45" t="s">
        <v>54</v>
      </c>
      <c r="E45" t="s">
        <v>311</v>
      </c>
      <c r="F45" t="s">
        <v>107</v>
      </c>
      <c r="G45" t="s">
        <v>148</v>
      </c>
      <c r="H45" t="s">
        <v>148</v>
      </c>
      <c r="I45" t="s">
        <v>107</v>
      </c>
      <c r="J45" t="s">
        <v>107</v>
      </c>
      <c r="K45" t="s">
        <v>107</v>
      </c>
      <c r="L45" t="s">
        <v>107</v>
      </c>
    </row>
    <row r="46" spans="3:12" x14ac:dyDescent="0.3">
      <c r="C46">
        <v>1</v>
      </c>
      <c r="D46" t="s">
        <v>55</v>
      </c>
      <c r="E46" t="s">
        <v>312</v>
      </c>
      <c r="F46" t="s">
        <v>341</v>
      </c>
      <c r="G46" t="s">
        <v>149</v>
      </c>
      <c r="H46" t="s">
        <v>284</v>
      </c>
      <c r="I46" t="s">
        <v>108</v>
      </c>
      <c r="J46" t="s">
        <v>190</v>
      </c>
      <c r="K46" t="s">
        <v>238</v>
      </c>
      <c r="L46" t="s">
        <v>217</v>
      </c>
    </row>
    <row r="47" spans="3:12" x14ac:dyDescent="0.3">
      <c r="D47" t="s">
        <v>56</v>
      </c>
      <c r="E47" t="s">
        <v>313</v>
      </c>
      <c r="F47" t="s">
        <v>342</v>
      </c>
      <c r="J47" t="s">
        <v>264</v>
      </c>
    </row>
    <row r="48" spans="3:12" x14ac:dyDescent="0.3">
      <c r="C48">
        <v>1</v>
      </c>
      <c r="D48" t="s">
        <v>57</v>
      </c>
      <c r="E48" t="s">
        <v>314</v>
      </c>
      <c r="F48" t="s">
        <v>343</v>
      </c>
      <c r="G48" t="s">
        <v>150</v>
      </c>
      <c r="H48" t="s">
        <v>285</v>
      </c>
      <c r="I48" t="s">
        <v>109</v>
      </c>
      <c r="J48" t="s">
        <v>150</v>
      </c>
      <c r="K48" t="s">
        <v>107</v>
      </c>
      <c r="L48" t="s">
        <v>218</v>
      </c>
    </row>
    <row r="49" spans="3:12" x14ac:dyDescent="0.3">
      <c r="D49" t="s">
        <v>58</v>
      </c>
    </row>
    <row r="50" spans="3:12" x14ac:dyDescent="0.3">
      <c r="C50">
        <v>1</v>
      </c>
      <c r="D50" t="s">
        <v>59</v>
      </c>
      <c r="E50" t="s">
        <v>315</v>
      </c>
      <c r="F50" t="s">
        <v>110</v>
      </c>
      <c r="G50" t="s">
        <v>151</v>
      </c>
      <c r="H50" t="s">
        <v>286</v>
      </c>
      <c r="I50" t="s">
        <v>110</v>
      </c>
      <c r="J50" t="s">
        <v>265</v>
      </c>
      <c r="K50" t="s">
        <v>107</v>
      </c>
      <c r="L50" t="s">
        <v>219</v>
      </c>
    </row>
    <row r="51" spans="3:12" x14ac:dyDescent="0.3">
      <c r="C51">
        <v>1</v>
      </c>
      <c r="D51" t="s">
        <v>60</v>
      </c>
      <c r="E51" t="s">
        <v>287</v>
      </c>
      <c r="F51" t="s">
        <v>111</v>
      </c>
      <c r="G51" t="s">
        <v>152</v>
      </c>
      <c r="H51" t="s">
        <v>287</v>
      </c>
      <c r="I51" t="s">
        <v>111</v>
      </c>
      <c r="J51" t="s">
        <v>266</v>
      </c>
      <c r="K51" t="s">
        <v>111</v>
      </c>
      <c r="L51" t="s">
        <v>152</v>
      </c>
    </row>
    <row r="52" spans="3:12" x14ac:dyDescent="0.3">
      <c r="C52">
        <v>1</v>
      </c>
      <c r="D52" t="s">
        <v>61</v>
      </c>
      <c r="E52" t="s">
        <v>153</v>
      </c>
      <c r="F52" t="s">
        <v>344</v>
      </c>
      <c r="G52" t="s">
        <v>153</v>
      </c>
      <c r="H52" t="s">
        <v>153</v>
      </c>
      <c r="I52" t="s">
        <v>111</v>
      </c>
      <c r="J52" t="s">
        <v>111</v>
      </c>
      <c r="K52" t="s">
        <v>111</v>
      </c>
      <c r="L52" t="s">
        <v>153</v>
      </c>
    </row>
    <row r="53" spans="3:12" x14ac:dyDescent="0.3">
      <c r="D53" t="s">
        <v>62</v>
      </c>
    </row>
    <row r="54" spans="3:12" x14ac:dyDescent="0.3">
      <c r="C54">
        <v>1</v>
      </c>
      <c r="D54" t="s">
        <v>63</v>
      </c>
      <c r="E54" t="s">
        <v>161</v>
      </c>
      <c r="F54" t="s">
        <v>96</v>
      </c>
      <c r="G54" t="s">
        <v>96</v>
      </c>
      <c r="H54" t="s">
        <v>161</v>
      </c>
      <c r="I54" t="s">
        <v>96</v>
      </c>
      <c r="J54" t="s">
        <v>96</v>
      </c>
      <c r="K54" t="s">
        <v>161</v>
      </c>
      <c r="L54" t="s">
        <v>161</v>
      </c>
    </row>
    <row r="55" spans="3:12" x14ac:dyDescent="0.3">
      <c r="D55" t="s">
        <v>64</v>
      </c>
      <c r="E55" t="s">
        <v>316</v>
      </c>
      <c r="F55" t="s">
        <v>345</v>
      </c>
      <c r="G55" t="s">
        <v>154</v>
      </c>
      <c r="H55" t="s">
        <v>288</v>
      </c>
      <c r="I55" t="s">
        <v>112</v>
      </c>
      <c r="J55" t="s">
        <v>267</v>
      </c>
      <c r="K55" t="s">
        <v>239</v>
      </c>
      <c r="L55" t="s">
        <v>220</v>
      </c>
    </row>
    <row r="56" spans="3:12" x14ac:dyDescent="0.3">
      <c r="D56" t="s">
        <v>65</v>
      </c>
      <c r="E56" t="s">
        <v>294</v>
      </c>
      <c r="F56" t="s">
        <v>294</v>
      </c>
      <c r="G56" t="s">
        <v>155</v>
      </c>
      <c r="H56" t="s">
        <v>289</v>
      </c>
      <c r="I56" t="s">
        <v>113</v>
      </c>
      <c r="J56" t="s">
        <v>268</v>
      </c>
      <c r="K56" t="s">
        <v>243</v>
      </c>
      <c r="L56" t="s">
        <v>221</v>
      </c>
    </row>
  </sheetData>
  <autoFilter ref="A1:Q56" xr:uid="{1263C12D-2529-429A-9B20-EC8644FB1F1C}"/>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E389B-79A3-4DDA-91E8-D469D58EFBA0}">
  <dimension ref="A1:N184"/>
  <sheetViews>
    <sheetView tabSelected="1" workbookViewId="0">
      <pane ySplit="1" topLeftCell="A116" activePane="bottomLeft" state="frozen"/>
      <selection pane="bottomLeft" activeCell="J159" sqref="J159"/>
    </sheetView>
  </sheetViews>
  <sheetFormatPr defaultRowHeight="14.4" x14ac:dyDescent="0.3"/>
  <cols>
    <col min="1" max="1" width="30" customWidth="1"/>
    <col min="2" max="2" width="20.88671875" customWidth="1"/>
    <col min="3" max="3" width="66.6640625" customWidth="1"/>
    <col min="4" max="4" width="32.88671875" customWidth="1"/>
  </cols>
  <sheetData>
    <row r="1" spans="1:14" x14ac:dyDescent="0.3">
      <c r="A1" s="5" t="s">
        <v>415</v>
      </c>
      <c r="B1" s="5" t="s">
        <v>416</v>
      </c>
      <c r="C1" s="5" t="s">
        <v>408</v>
      </c>
      <c r="D1" s="5" t="s">
        <v>417</v>
      </c>
      <c r="E1" s="5" t="s">
        <v>414</v>
      </c>
      <c r="F1" s="5" t="s">
        <v>346</v>
      </c>
      <c r="G1" s="5" t="s">
        <v>118</v>
      </c>
      <c r="H1" s="5" t="s">
        <v>272</v>
      </c>
      <c r="I1" s="5" t="s">
        <v>71</v>
      </c>
      <c r="J1" s="5" t="s">
        <v>248</v>
      </c>
      <c r="K1" s="5" t="s">
        <v>225</v>
      </c>
      <c r="L1" s="5" t="s">
        <v>200</v>
      </c>
      <c r="M1" s="5" t="s">
        <v>418</v>
      </c>
      <c r="N1" s="5" t="s">
        <v>328</v>
      </c>
    </row>
    <row r="2" spans="1:14" x14ac:dyDescent="0.3">
      <c r="A2" t="s">
        <v>419</v>
      </c>
      <c r="B2" t="s">
        <v>420</v>
      </c>
      <c r="C2" t="s">
        <v>364</v>
      </c>
      <c r="D2" t="s">
        <v>421</v>
      </c>
      <c r="E2">
        <v>1</v>
      </c>
      <c r="F2">
        <v>1</v>
      </c>
      <c r="G2">
        <v>0.5</v>
      </c>
      <c r="H2">
        <v>1</v>
      </c>
      <c r="I2">
        <v>1</v>
      </c>
      <c r="J2">
        <v>1</v>
      </c>
      <c r="K2" t="s">
        <v>318</v>
      </c>
      <c r="L2">
        <v>1</v>
      </c>
      <c r="M2">
        <v>1</v>
      </c>
      <c r="N2" t="s">
        <v>373</v>
      </c>
    </row>
    <row r="4" spans="1:14" x14ac:dyDescent="0.3">
      <c r="A4" t="s">
        <v>419</v>
      </c>
      <c r="B4" t="s">
        <v>420</v>
      </c>
      <c r="C4" t="s">
        <v>371</v>
      </c>
      <c r="D4" t="s">
        <v>422</v>
      </c>
      <c r="E4">
        <v>1</v>
      </c>
      <c r="F4">
        <v>0.5</v>
      </c>
      <c r="G4">
        <v>1</v>
      </c>
      <c r="H4">
        <v>1</v>
      </c>
      <c r="I4">
        <v>1</v>
      </c>
      <c r="J4">
        <v>1</v>
      </c>
      <c r="K4">
        <v>0</v>
      </c>
      <c r="L4">
        <v>1</v>
      </c>
      <c r="M4">
        <v>1</v>
      </c>
      <c r="N4" t="s">
        <v>374</v>
      </c>
    </row>
    <row r="5" spans="1:14" x14ac:dyDescent="0.3">
      <c r="A5" t="s">
        <v>419</v>
      </c>
      <c r="B5" t="s">
        <v>420</v>
      </c>
      <c r="C5" t="s">
        <v>371</v>
      </c>
      <c r="D5" t="s">
        <v>423</v>
      </c>
      <c r="E5" t="s">
        <v>424</v>
      </c>
      <c r="F5" t="s">
        <v>425</v>
      </c>
      <c r="G5" t="s">
        <v>424</v>
      </c>
      <c r="H5" t="s">
        <v>424</v>
      </c>
      <c r="I5" t="s">
        <v>424</v>
      </c>
      <c r="J5" t="s">
        <v>424</v>
      </c>
      <c r="K5" t="s">
        <v>288</v>
      </c>
      <c r="L5" t="s">
        <v>424</v>
      </c>
      <c r="M5">
        <v>0.5</v>
      </c>
    </row>
    <row r="6" spans="1:14" x14ac:dyDescent="0.3">
      <c r="A6" t="s">
        <v>419</v>
      </c>
      <c r="B6" t="s">
        <v>420</v>
      </c>
      <c r="C6" t="s">
        <v>371</v>
      </c>
      <c r="D6" t="s">
        <v>426</v>
      </c>
      <c r="E6" t="s">
        <v>424</v>
      </c>
      <c r="F6" t="s">
        <v>424</v>
      </c>
      <c r="G6" t="s">
        <v>424</v>
      </c>
      <c r="H6" t="s">
        <v>424</v>
      </c>
      <c r="I6" t="s">
        <v>424</v>
      </c>
      <c r="J6" t="s">
        <v>424</v>
      </c>
      <c r="K6" t="s">
        <v>288</v>
      </c>
      <c r="L6" t="s">
        <v>424</v>
      </c>
      <c r="M6">
        <v>0.5</v>
      </c>
    </row>
    <row r="8" spans="1:14" x14ac:dyDescent="0.3">
      <c r="A8" t="s">
        <v>419</v>
      </c>
      <c r="B8" t="s">
        <v>420</v>
      </c>
      <c r="C8" t="s">
        <v>398</v>
      </c>
      <c r="D8" t="s">
        <v>422</v>
      </c>
      <c r="E8">
        <v>1</v>
      </c>
      <c r="F8">
        <v>0.75</v>
      </c>
      <c r="G8">
        <v>0.5</v>
      </c>
      <c r="H8">
        <v>0.75</v>
      </c>
      <c r="I8">
        <v>0.75</v>
      </c>
      <c r="J8">
        <v>0.5</v>
      </c>
      <c r="K8">
        <v>0</v>
      </c>
      <c r="L8">
        <v>0.75</v>
      </c>
      <c r="M8">
        <v>1.25</v>
      </c>
      <c r="N8" t="s">
        <v>427</v>
      </c>
    </row>
    <row r="9" spans="1:14" x14ac:dyDescent="0.3">
      <c r="A9" t="s">
        <v>419</v>
      </c>
      <c r="B9" t="s">
        <v>420</v>
      </c>
      <c r="C9" t="s">
        <v>398</v>
      </c>
      <c r="D9" t="s">
        <v>428</v>
      </c>
      <c r="E9" t="s">
        <v>424</v>
      </c>
      <c r="F9" t="s">
        <v>425</v>
      </c>
      <c r="G9" t="s">
        <v>425</v>
      </c>
      <c r="H9" t="s">
        <v>425</v>
      </c>
      <c r="I9" t="s">
        <v>425</v>
      </c>
      <c r="J9" t="s">
        <v>424</v>
      </c>
      <c r="K9" t="s">
        <v>288</v>
      </c>
      <c r="L9" t="s">
        <v>424</v>
      </c>
      <c r="M9">
        <v>0.25</v>
      </c>
    </row>
    <row r="10" spans="1:14" x14ac:dyDescent="0.3">
      <c r="A10" t="s">
        <v>419</v>
      </c>
      <c r="B10" t="s">
        <v>420</v>
      </c>
      <c r="C10" t="s">
        <v>398</v>
      </c>
      <c r="D10" t="s">
        <v>429</v>
      </c>
      <c r="E10" t="s">
        <v>424</v>
      </c>
      <c r="F10" t="s">
        <v>425</v>
      </c>
      <c r="G10" t="s">
        <v>425</v>
      </c>
      <c r="H10" t="s">
        <v>425</v>
      </c>
      <c r="I10" t="s">
        <v>425</v>
      </c>
      <c r="J10" t="s">
        <v>425</v>
      </c>
      <c r="K10" t="s">
        <v>288</v>
      </c>
      <c r="L10" t="s">
        <v>424</v>
      </c>
      <c r="M10">
        <v>0.25</v>
      </c>
    </row>
    <row r="11" spans="1:14" x14ac:dyDescent="0.3">
      <c r="A11" t="s">
        <v>419</v>
      </c>
      <c r="B11" t="s">
        <v>420</v>
      </c>
      <c r="C11" t="s">
        <v>398</v>
      </c>
      <c r="D11" t="s">
        <v>430</v>
      </c>
      <c r="E11" t="s">
        <v>425</v>
      </c>
      <c r="F11" t="s">
        <v>425</v>
      </c>
      <c r="G11" t="s">
        <v>431</v>
      </c>
      <c r="H11" t="s">
        <v>425</v>
      </c>
      <c r="I11" t="s">
        <v>425</v>
      </c>
      <c r="J11" t="s">
        <v>425</v>
      </c>
      <c r="K11" t="s">
        <v>288</v>
      </c>
      <c r="M11">
        <v>0.25</v>
      </c>
    </row>
    <row r="12" spans="1:14" x14ac:dyDescent="0.3">
      <c r="A12" t="s">
        <v>419</v>
      </c>
      <c r="B12" t="s">
        <v>420</v>
      </c>
      <c r="C12" t="s">
        <v>398</v>
      </c>
      <c r="D12" t="s">
        <v>320</v>
      </c>
      <c r="E12" t="s">
        <v>425</v>
      </c>
      <c r="F12" t="s">
        <v>424</v>
      </c>
      <c r="G12" t="s">
        <v>425</v>
      </c>
      <c r="H12" t="s">
        <v>424</v>
      </c>
      <c r="I12" t="s">
        <v>424</v>
      </c>
      <c r="J12" t="s">
        <v>425</v>
      </c>
      <c r="K12" t="s">
        <v>288</v>
      </c>
      <c r="M12">
        <v>0.5</v>
      </c>
    </row>
    <row r="13" spans="1:14" x14ac:dyDescent="0.3">
      <c r="A13" t="s">
        <v>419</v>
      </c>
      <c r="B13" t="s">
        <v>420</v>
      </c>
      <c r="C13" t="s">
        <v>398</v>
      </c>
      <c r="D13" t="s">
        <v>413</v>
      </c>
      <c r="E13" t="s">
        <v>424</v>
      </c>
      <c r="F13" t="s">
        <v>424</v>
      </c>
      <c r="G13" t="s">
        <v>424</v>
      </c>
      <c r="H13" t="s">
        <v>424</v>
      </c>
      <c r="I13" t="s">
        <v>424</v>
      </c>
      <c r="J13" t="s">
        <v>424</v>
      </c>
      <c r="K13" t="s">
        <v>288</v>
      </c>
      <c r="L13" t="s">
        <v>424</v>
      </c>
      <c r="M13">
        <v>0.25</v>
      </c>
    </row>
    <row r="14" spans="1:14" x14ac:dyDescent="0.3">
      <c r="A14" t="s">
        <v>419</v>
      </c>
      <c r="B14" t="s">
        <v>420</v>
      </c>
      <c r="C14" t="s">
        <v>398</v>
      </c>
      <c r="D14" t="s">
        <v>432</v>
      </c>
      <c r="E14" t="s">
        <v>424</v>
      </c>
      <c r="F14" t="s">
        <v>425</v>
      </c>
      <c r="G14" t="s">
        <v>425</v>
      </c>
      <c r="H14" t="s">
        <v>425</v>
      </c>
      <c r="I14" t="s">
        <v>425</v>
      </c>
      <c r="J14" t="s">
        <v>425</v>
      </c>
      <c r="K14" t="s">
        <v>288</v>
      </c>
      <c r="L14" t="s">
        <v>425</v>
      </c>
      <c r="M14">
        <v>0.25</v>
      </c>
    </row>
    <row r="16" spans="1:14" x14ac:dyDescent="0.3">
      <c r="A16" t="s">
        <v>419</v>
      </c>
      <c r="B16" t="s">
        <v>420</v>
      </c>
      <c r="C16" t="s">
        <v>399</v>
      </c>
      <c r="D16" t="s">
        <v>420</v>
      </c>
      <c r="E16">
        <v>0</v>
      </c>
      <c r="F16">
        <v>0</v>
      </c>
      <c r="G16">
        <v>0</v>
      </c>
      <c r="H16">
        <v>0</v>
      </c>
      <c r="I16">
        <v>0</v>
      </c>
      <c r="J16">
        <v>0</v>
      </c>
      <c r="K16" t="s">
        <v>288</v>
      </c>
      <c r="L16">
        <v>0</v>
      </c>
      <c r="M16">
        <v>1</v>
      </c>
      <c r="N16" t="s">
        <v>433</v>
      </c>
    </row>
    <row r="18" spans="1:14" x14ac:dyDescent="0.3">
      <c r="A18" t="s">
        <v>419</v>
      </c>
      <c r="B18" t="s">
        <v>459</v>
      </c>
      <c r="C18" t="s">
        <v>538</v>
      </c>
      <c r="D18" t="s">
        <v>530</v>
      </c>
      <c r="E18">
        <v>1</v>
      </c>
      <c r="F18">
        <v>0.75</v>
      </c>
      <c r="G18">
        <v>0.25</v>
      </c>
      <c r="H18">
        <v>1</v>
      </c>
      <c r="I18">
        <v>1</v>
      </c>
      <c r="J18">
        <v>1.5</v>
      </c>
      <c r="K18">
        <v>0</v>
      </c>
      <c r="L18">
        <v>0.5</v>
      </c>
      <c r="M18">
        <f>SUM(M19:M32)</f>
        <v>3.5</v>
      </c>
    </row>
    <row r="19" spans="1:14" x14ac:dyDescent="0.3">
      <c r="A19" t="s">
        <v>419</v>
      </c>
      <c r="B19" t="s">
        <v>459</v>
      </c>
      <c r="C19" t="s">
        <v>538</v>
      </c>
      <c r="D19" t="s">
        <v>539</v>
      </c>
      <c r="E19" t="s">
        <v>425</v>
      </c>
      <c r="F19" t="s">
        <v>425</v>
      </c>
      <c r="G19" t="s">
        <v>425</v>
      </c>
      <c r="H19" t="s">
        <v>424</v>
      </c>
      <c r="I19" t="s">
        <v>424</v>
      </c>
      <c r="J19" t="s">
        <v>425</v>
      </c>
      <c r="K19" t="s">
        <v>288</v>
      </c>
      <c r="L19" t="s">
        <v>424</v>
      </c>
      <c r="M19">
        <v>0.25</v>
      </c>
      <c r="N19" t="s">
        <v>540</v>
      </c>
    </row>
    <row r="20" spans="1:14" x14ac:dyDescent="0.3">
      <c r="A20" t="s">
        <v>419</v>
      </c>
      <c r="B20" t="s">
        <v>459</v>
      </c>
      <c r="C20" t="s">
        <v>538</v>
      </c>
      <c r="D20" t="s">
        <v>541</v>
      </c>
      <c r="E20" t="s">
        <v>425</v>
      </c>
      <c r="F20" t="s">
        <v>425</v>
      </c>
      <c r="G20" t="s">
        <v>425</v>
      </c>
      <c r="H20" t="s">
        <v>425</v>
      </c>
      <c r="I20" t="s">
        <v>424</v>
      </c>
      <c r="J20" t="s">
        <v>424</v>
      </c>
      <c r="K20" t="s">
        <v>288</v>
      </c>
      <c r="L20" t="s">
        <v>424</v>
      </c>
      <c r="M20">
        <v>0.25</v>
      </c>
    </row>
    <row r="21" spans="1:14" x14ac:dyDescent="0.3">
      <c r="A21" t="s">
        <v>419</v>
      </c>
      <c r="B21" t="s">
        <v>459</v>
      </c>
      <c r="C21" t="s">
        <v>538</v>
      </c>
      <c r="D21" t="s">
        <v>542</v>
      </c>
      <c r="E21" t="s">
        <v>425</v>
      </c>
      <c r="F21" t="s">
        <v>425</v>
      </c>
      <c r="G21" t="s">
        <v>425</v>
      </c>
      <c r="H21" t="s">
        <v>425</v>
      </c>
      <c r="I21" t="s">
        <v>425</v>
      </c>
      <c r="J21" t="s">
        <v>425</v>
      </c>
      <c r="K21" t="s">
        <v>288</v>
      </c>
      <c r="L21" t="s">
        <v>425</v>
      </c>
      <c r="M21">
        <v>0.25</v>
      </c>
    </row>
    <row r="22" spans="1:14" x14ac:dyDescent="0.3">
      <c r="A22" t="s">
        <v>419</v>
      </c>
      <c r="B22" t="s">
        <v>459</v>
      </c>
      <c r="C22" t="s">
        <v>538</v>
      </c>
      <c r="D22" t="s">
        <v>543</v>
      </c>
      <c r="E22" t="s">
        <v>425</v>
      </c>
      <c r="F22" t="s">
        <v>425</v>
      </c>
      <c r="G22" t="s">
        <v>425</v>
      </c>
      <c r="H22" t="s">
        <v>425</v>
      </c>
      <c r="I22" t="s">
        <v>425</v>
      </c>
      <c r="J22" t="s">
        <v>425</v>
      </c>
      <c r="K22" t="s">
        <v>288</v>
      </c>
      <c r="L22" t="s">
        <v>425</v>
      </c>
      <c r="M22">
        <v>0.25</v>
      </c>
    </row>
    <row r="23" spans="1:14" x14ac:dyDescent="0.3">
      <c r="A23" t="s">
        <v>419</v>
      </c>
      <c r="B23" t="s">
        <v>459</v>
      </c>
      <c r="C23" t="s">
        <v>538</v>
      </c>
      <c r="D23" t="s">
        <v>544</v>
      </c>
      <c r="E23" t="s">
        <v>425</v>
      </c>
      <c r="F23" t="s">
        <v>425</v>
      </c>
      <c r="G23" t="s">
        <v>425</v>
      </c>
      <c r="H23" t="s">
        <v>425</v>
      </c>
      <c r="I23" t="s">
        <v>425</v>
      </c>
      <c r="J23" t="s">
        <v>424</v>
      </c>
      <c r="K23" t="s">
        <v>288</v>
      </c>
      <c r="L23" t="s">
        <v>425</v>
      </c>
      <c r="M23">
        <v>0.25</v>
      </c>
    </row>
    <row r="24" spans="1:14" x14ac:dyDescent="0.3">
      <c r="A24" t="s">
        <v>419</v>
      </c>
      <c r="B24" t="s">
        <v>459</v>
      </c>
      <c r="C24" t="s">
        <v>538</v>
      </c>
      <c r="D24" t="s">
        <v>545</v>
      </c>
      <c r="E24" t="s">
        <v>424</v>
      </c>
      <c r="F24" t="s">
        <v>424</v>
      </c>
      <c r="G24" t="s">
        <v>425</v>
      </c>
      <c r="H24" t="s">
        <v>424</v>
      </c>
      <c r="I24" t="s">
        <v>425</v>
      </c>
      <c r="J24" t="s">
        <v>424</v>
      </c>
      <c r="K24" t="s">
        <v>288</v>
      </c>
      <c r="L24" t="s">
        <v>425</v>
      </c>
      <c r="M24">
        <v>0.25</v>
      </c>
    </row>
    <row r="25" spans="1:14" x14ac:dyDescent="0.3">
      <c r="A25" t="s">
        <v>419</v>
      </c>
      <c r="B25" t="s">
        <v>459</v>
      </c>
      <c r="C25" t="s">
        <v>538</v>
      </c>
      <c r="D25" t="s">
        <v>546</v>
      </c>
      <c r="E25" t="s">
        <v>425</v>
      </c>
      <c r="F25" t="s">
        <v>425</v>
      </c>
      <c r="G25" t="s">
        <v>425</v>
      </c>
      <c r="H25" t="s">
        <v>425</v>
      </c>
      <c r="I25" t="s">
        <v>425</v>
      </c>
      <c r="J25" t="s">
        <v>425</v>
      </c>
      <c r="K25" t="s">
        <v>288</v>
      </c>
      <c r="L25" t="s">
        <v>425</v>
      </c>
      <c r="M25">
        <v>0.25</v>
      </c>
    </row>
    <row r="26" spans="1:14" x14ac:dyDescent="0.3">
      <c r="A26" t="s">
        <v>419</v>
      </c>
      <c r="B26" t="s">
        <v>459</v>
      </c>
      <c r="C26" t="s">
        <v>538</v>
      </c>
      <c r="D26" t="s">
        <v>547</v>
      </c>
      <c r="E26" t="s">
        <v>424</v>
      </c>
      <c r="F26" t="s">
        <v>424</v>
      </c>
      <c r="G26" t="s">
        <v>425</v>
      </c>
      <c r="H26" t="s">
        <v>424</v>
      </c>
      <c r="I26" t="s">
        <v>424</v>
      </c>
      <c r="J26" t="s">
        <v>424</v>
      </c>
      <c r="K26" t="s">
        <v>288</v>
      </c>
      <c r="L26" t="s">
        <v>425</v>
      </c>
      <c r="M26">
        <v>0.25</v>
      </c>
    </row>
    <row r="27" spans="1:14" x14ac:dyDescent="0.3">
      <c r="A27" t="s">
        <v>419</v>
      </c>
      <c r="B27" t="s">
        <v>459</v>
      </c>
      <c r="C27" t="s">
        <v>538</v>
      </c>
      <c r="D27" t="s">
        <v>548</v>
      </c>
      <c r="E27" t="s">
        <v>424</v>
      </c>
      <c r="F27" t="s">
        <v>425</v>
      </c>
      <c r="G27" t="s">
        <v>424</v>
      </c>
      <c r="H27" t="s">
        <v>424</v>
      </c>
      <c r="I27" t="s">
        <v>424</v>
      </c>
      <c r="J27" t="s">
        <v>424</v>
      </c>
      <c r="K27" t="s">
        <v>288</v>
      </c>
      <c r="L27" t="s">
        <v>425</v>
      </c>
      <c r="M27">
        <v>0.25</v>
      </c>
    </row>
    <row r="28" spans="1:14" x14ac:dyDescent="0.3">
      <c r="A28" t="s">
        <v>419</v>
      </c>
      <c r="B28" t="s">
        <v>459</v>
      </c>
      <c r="C28" t="s">
        <v>538</v>
      </c>
      <c r="D28" t="s">
        <v>549</v>
      </c>
      <c r="E28" t="s">
        <v>424</v>
      </c>
      <c r="F28" t="s">
        <v>424</v>
      </c>
      <c r="G28" t="s">
        <v>425</v>
      </c>
      <c r="H28" t="s">
        <v>425</v>
      </c>
      <c r="I28" t="s">
        <v>425</v>
      </c>
      <c r="J28" t="s">
        <v>425</v>
      </c>
      <c r="K28" t="s">
        <v>288</v>
      </c>
      <c r="L28" t="s">
        <v>425</v>
      </c>
      <c r="M28">
        <v>0.25</v>
      </c>
    </row>
    <row r="29" spans="1:14" x14ac:dyDescent="0.3">
      <c r="A29" t="s">
        <v>419</v>
      </c>
      <c r="B29" t="s">
        <v>459</v>
      </c>
      <c r="C29" t="s">
        <v>538</v>
      </c>
      <c r="D29" t="s">
        <v>550</v>
      </c>
      <c r="E29" t="s">
        <v>425</v>
      </c>
      <c r="F29" t="s">
        <v>425</v>
      </c>
      <c r="G29" t="s">
        <v>425</v>
      </c>
      <c r="H29" t="s">
        <v>425</v>
      </c>
      <c r="I29" t="s">
        <v>425</v>
      </c>
      <c r="J29" t="s">
        <v>425</v>
      </c>
      <c r="K29" t="s">
        <v>288</v>
      </c>
      <c r="L29" t="s">
        <v>425</v>
      </c>
      <c r="M29">
        <v>0.25</v>
      </c>
    </row>
    <row r="30" spans="1:14" x14ac:dyDescent="0.3">
      <c r="A30" t="s">
        <v>419</v>
      </c>
      <c r="B30" t="s">
        <v>459</v>
      </c>
      <c r="C30" t="s">
        <v>538</v>
      </c>
      <c r="D30" t="s">
        <v>551</v>
      </c>
      <c r="E30" t="s">
        <v>425</v>
      </c>
      <c r="F30" t="s">
        <v>425</v>
      </c>
      <c r="G30" t="s">
        <v>425</v>
      </c>
      <c r="H30" t="s">
        <v>425</v>
      </c>
      <c r="I30" t="s">
        <v>425</v>
      </c>
      <c r="J30" t="s">
        <v>425</v>
      </c>
      <c r="K30" t="s">
        <v>288</v>
      </c>
      <c r="L30" t="s">
        <v>425</v>
      </c>
      <c r="M30">
        <v>0.25</v>
      </c>
    </row>
    <row r="31" spans="1:14" x14ac:dyDescent="0.3">
      <c r="A31" t="s">
        <v>419</v>
      </c>
      <c r="B31" t="s">
        <v>459</v>
      </c>
      <c r="C31" t="s">
        <v>538</v>
      </c>
      <c r="D31" t="s">
        <v>552</v>
      </c>
      <c r="E31" t="s">
        <v>425</v>
      </c>
      <c r="F31" t="s">
        <v>425</v>
      </c>
      <c r="G31" t="s">
        <v>425</v>
      </c>
      <c r="H31" t="s">
        <v>425</v>
      </c>
      <c r="I31" t="s">
        <v>425</v>
      </c>
      <c r="J31" t="s">
        <v>425</v>
      </c>
      <c r="K31" t="s">
        <v>288</v>
      </c>
      <c r="L31" t="s">
        <v>425</v>
      </c>
      <c r="M31">
        <v>0.25</v>
      </c>
    </row>
    <row r="32" spans="1:14" x14ac:dyDescent="0.3">
      <c r="A32" t="s">
        <v>419</v>
      </c>
      <c r="B32" t="s">
        <v>459</v>
      </c>
      <c r="C32" t="s">
        <v>538</v>
      </c>
      <c r="D32" t="s">
        <v>553</v>
      </c>
      <c r="E32" t="s">
        <v>425</v>
      </c>
      <c r="F32" t="s">
        <v>425</v>
      </c>
      <c r="G32" t="s">
        <v>425</v>
      </c>
      <c r="H32" t="s">
        <v>425</v>
      </c>
      <c r="I32" t="s">
        <v>425</v>
      </c>
      <c r="J32" t="s">
        <v>424</v>
      </c>
      <c r="K32" t="s">
        <v>288</v>
      </c>
      <c r="L32" t="s">
        <v>425</v>
      </c>
      <c r="M32">
        <v>0.25</v>
      </c>
    </row>
    <row r="34" spans="1:14" x14ac:dyDescent="0.3">
      <c r="A34" t="s">
        <v>419</v>
      </c>
      <c r="B34" t="s">
        <v>459</v>
      </c>
      <c r="C34" t="s">
        <v>554</v>
      </c>
      <c r="D34" t="s">
        <v>530</v>
      </c>
      <c r="E34">
        <v>0.75</v>
      </c>
      <c r="F34">
        <v>1</v>
      </c>
      <c r="G34">
        <v>0.25</v>
      </c>
      <c r="H34">
        <v>0.75</v>
      </c>
      <c r="I34">
        <v>1</v>
      </c>
      <c r="J34">
        <v>0.5</v>
      </c>
      <c r="K34" t="s">
        <v>288</v>
      </c>
      <c r="L34">
        <v>0.5</v>
      </c>
      <c r="M34">
        <f>SUM(M35:M40)</f>
        <v>1.5</v>
      </c>
      <c r="N34" t="s">
        <v>555</v>
      </c>
    </row>
    <row r="35" spans="1:14" x14ac:dyDescent="0.3">
      <c r="A35" t="s">
        <v>419</v>
      </c>
      <c r="B35" t="s">
        <v>459</v>
      </c>
      <c r="C35" t="s">
        <v>554</v>
      </c>
      <c r="D35" t="s">
        <v>556</v>
      </c>
      <c r="E35" t="s">
        <v>424</v>
      </c>
      <c r="F35" t="s">
        <v>424</v>
      </c>
      <c r="G35" t="s">
        <v>424</v>
      </c>
      <c r="H35" t="s">
        <v>424</v>
      </c>
      <c r="I35" t="s">
        <v>424</v>
      </c>
      <c r="J35" t="s">
        <v>424</v>
      </c>
      <c r="K35" t="s">
        <v>288</v>
      </c>
      <c r="L35" t="s">
        <v>424</v>
      </c>
      <c r="M35">
        <v>0.25</v>
      </c>
    </row>
    <row r="36" spans="1:14" x14ac:dyDescent="0.3">
      <c r="A36" t="s">
        <v>419</v>
      </c>
      <c r="B36" t="s">
        <v>459</v>
      </c>
      <c r="C36" t="s">
        <v>554</v>
      </c>
      <c r="D36" t="s">
        <v>557</v>
      </c>
      <c r="E36" t="s">
        <v>425</v>
      </c>
      <c r="F36" t="s">
        <v>425</v>
      </c>
      <c r="G36" t="s">
        <v>425</v>
      </c>
      <c r="H36" t="s">
        <v>425</v>
      </c>
      <c r="I36" t="s">
        <v>425</v>
      </c>
      <c r="J36" t="s">
        <v>425</v>
      </c>
      <c r="K36" t="s">
        <v>288</v>
      </c>
      <c r="L36" t="s">
        <v>425</v>
      </c>
      <c r="M36">
        <v>0.25</v>
      </c>
    </row>
    <row r="37" spans="1:14" x14ac:dyDescent="0.3">
      <c r="A37" t="s">
        <v>419</v>
      </c>
      <c r="B37" t="s">
        <v>459</v>
      </c>
      <c r="C37" t="s">
        <v>554</v>
      </c>
      <c r="D37" t="s">
        <v>558</v>
      </c>
      <c r="E37" t="s">
        <v>425</v>
      </c>
      <c r="F37" t="s">
        <v>425</v>
      </c>
      <c r="G37" t="s">
        <v>425</v>
      </c>
      <c r="H37" t="s">
        <v>425</v>
      </c>
      <c r="I37" t="s">
        <v>424</v>
      </c>
      <c r="J37" t="s">
        <v>425</v>
      </c>
      <c r="K37" t="s">
        <v>288</v>
      </c>
      <c r="L37" t="s">
        <v>425</v>
      </c>
      <c r="M37">
        <v>0.25</v>
      </c>
    </row>
    <row r="38" spans="1:14" x14ac:dyDescent="0.3">
      <c r="A38" t="s">
        <v>419</v>
      </c>
      <c r="B38" t="s">
        <v>459</v>
      </c>
      <c r="C38" t="s">
        <v>554</v>
      </c>
      <c r="D38" t="s">
        <v>559</v>
      </c>
      <c r="E38" t="s">
        <v>424</v>
      </c>
      <c r="F38" t="s">
        <v>424</v>
      </c>
      <c r="G38" t="s">
        <v>425</v>
      </c>
      <c r="H38" t="s">
        <v>424</v>
      </c>
      <c r="I38" t="s">
        <v>424</v>
      </c>
      <c r="J38" t="s">
        <v>424</v>
      </c>
      <c r="K38" t="s">
        <v>288</v>
      </c>
      <c r="L38" t="s">
        <v>425</v>
      </c>
      <c r="M38">
        <v>0.25</v>
      </c>
    </row>
    <row r="39" spans="1:14" x14ac:dyDescent="0.3">
      <c r="A39" t="s">
        <v>419</v>
      </c>
      <c r="B39" t="s">
        <v>459</v>
      </c>
      <c r="C39" t="s">
        <v>554</v>
      </c>
      <c r="D39" t="s">
        <v>560</v>
      </c>
      <c r="E39" t="s">
        <v>424</v>
      </c>
      <c r="F39" t="s">
        <v>424</v>
      </c>
      <c r="G39" t="s">
        <v>425</v>
      </c>
      <c r="H39" t="s">
        <v>425</v>
      </c>
      <c r="I39" t="s">
        <v>425</v>
      </c>
      <c r="J39" t="s">
        <v>425</v>
      </c>
      <c r="K39" t="s">
        <v>288</v>
      </c>
      <c r="L39" t="s">
        <v>425</v>
      </c>
      <c r="M39">
        <v>0.25</v>
      </c>
    </row>
    <row r="40" spans="1:14" x14ac:dyDescent="0.3">
      <c r="A40" t="s">
        <v>419</v>
      </c>
      <c r="B40" t="s">
        <v>459</v>
      </c>
      <c r="C40" t="s">
        <v>554</v>
      </c>
      <c r="D40" t="s">
        <v>561</v>
      </c>
      <c r="E40" t="s">
        <v>425</v>
      </c>
      <c r="F40" t="s">
        <v>424</v>
      </c>
      <c r="G40" t="s">
        <v>425</v>
      </c>
      <c r="H40" t="s">
        <v>424</v>
      </c>
      <c r="I40" t="s">
        <v>424</v>
      </c>
      <c r="J40" t="s">
        <v>425</v>
      </c>
      <c r="K40" t="s">
        <v>288</v>
      </c>
      <c r="L40" t="s">
        <v>424</v>
      </c>
      <c r="M40">
        <v>0.25</v>
      </c>
    </row>
    <row r="42" spans="1:14" x14ac:dyDescent="0.3">
      <c r="A42" t="s">
        <v>419</v>
      </c>
      <c r="B42" t="s">
        <v>319</v>
      </c>
      <c r="C42" t="s">
        <v>355</v>
      </c>
      <c r="D42" t="s">
        <v>422</v>
      </c>
      <c r="E42">
        <v>0.5</v>
      </c>
      <c r="F42">
        <v>0</v>
      </c>
      <c r="G42">
        <v>0.25</v>
      </c>
      <c r="H42">
        <v>0.5</v>
      </c>
      <c r="I42">
        <v>0.5</v>
      </c>
      <c r="J42">
        <v>0</v>
      </c>
      <c r="K42">
        <v>0</v>
      </c>
      <c r="L42">
        <v>0.5</v>
      </c>
      <c r="M42">
        <v>1</v>
      </c>
      <c r="N42" t="s">
        <v>434</v>
      </c>
    </row>
    <row r="43" spans="1:14" x14ac:dyDescent="0.3">
      <c r="A43" t="s">
        <v>419</v>
      </c>
      <c r="B43" t="s">
        <v>319</v>
      </c>
      <c r="C43" t="s">
        <v>355</v>
      </c>
      <c r="D43" t="s">
        <v>435</v>
      </c>
      <c r="E43" t="s">
        <v>424</v>
      </c>
      <c r="F43" t="s">
        <v>425</v>
      </c>
      <c r="G43" t="s">
        <v>425</v>
      </c>
      <c r="H43" t="s">
        <v>425</v>
      </c>
      <c r="I43" t="s">
        <v>425</v>
      </c>
      <c r="J43" t="s">
        <v>425</v>
      </c>
      <c r="K43" t="s">
        <v>288</v>
      </c>
      <c r="L43" t="s">
        <v>425</v>
      </c>
      <c r="M43">
        <v>0.25</v>
      </c>
    </row>
    <row r="44" spans="1:14" x14ac:dyDescent="0.3">
      <c r="A44" t="s">
        <v>419</v>
      </c>
      <c r="B44" t="s">
        <v>319</v>
      </c>
      <c r="C44" t="s">
        <v>355</v>
      </c>
      <c r="D44" t="s">
        <v>321</v>
      </c>
      <c r="E44" t="s">
        <v>424</v>
      </c>
      <c r="F44" t="s">
        <v>425</v>
      </c>
      <c r="G44" t="s">
        <v>425</v>
      </c>
      <c r="H44" t="s">
        <v>424</v>
      </c>
      <c r="I44" t="s">
        <v>424</v>
      </c>
      <c r="J44" t="s">
        <v>425</v>
      </c>
      <c r="K44" t="s">
        <v>288</v>
      </c>
      <c r="L44" t="s">
        <v>424</v>
      </c>
      <c r="M44">
        <v>0.5</v>
      </c>
    </row>
    <row r="45" spans="1:14" x14ac:dyDescent="0.3">
      <c r="A45" t="s">
        <v>419</v>
      </c>
      <c r="B45" t="s">
        <v>319</v>
      </c>
      <c r="C45" t="s">
        <v>355</v>
      </c>
      <c r="D45" t="s">
        <v>436</v>
      </c>
      <c r="E45" t="s">
        <v>425</v>
      </c>
      <c r="F45" t="s">
        <v>425</v>
      </c>
      <c r="G45" t="s">
        <v>425</v>
      </c>
      <c r="H45" t="s">
        <v>425</v>
      </c>
      <c r="I45" t="s">
        <v>425</v>
      </c>
      <c r="J45" t="s">
        <v>425</v>
      </c>
      <c r="K45" t="s">
        <v>288</v>
      </c>
      <c r="L45" t="s">
        <v>425</v>
      </c>
      <c r="M45">
        <v>0.25</v>
      </c>
    </row>
    <row r="46" spans="1:14" x14ac:dyDescent="0.3">
      <c r="A46" t="s">
        <v>419</v>
      </c>
      <c r="B46" t="s">
        <v>319</v>
      </c>
      <c r="C46" t="s">
        <v>355</v>
      </c>
      <c r="D46" t="s">
        <v>356</v>
      </c>
      <c r="E46" t="s">
        <v>424</v>
      </c>
      <c r="F46" t="s">
        <v>425</v>
      </c>
      <c r="G46" t="s">
        <v>424</v>
      </c>
      <c r="H46" t="s">
        <v>425</v>
      </c>
      <c r="I46" t="s">
        <v>425</v>
      </c>
      <c r="J46" t="s">
        <v>425</v>
      </c>
      <c r="K46" t="s">
        <v>288</v>
      </c>
      <c r="L46" t="s">
        <v>425</v>
      </c>
      <c r="M46">
        <v>0.25</v>
      </c>
    </row>
    <row r="47" spans="1:14" x14ac:dyDescent="0.3">
      <c r="A47" t="s">
        <v>419</v>
      </c>
      <c r="B47" t="s">
        <v>319</v>
      </c>
      <c r="C47" t="s">
        <v>355</v>
      </c>
      <c r="D47" t="s">
        <v>437</v>
      </c>
      <c r="E47" t="s">
        <v>425</v>
      </c>
      <c r="F47" t="s">
        <v>425</v>
      </c>
      <c r="G47" t="s">
        <v>425</v>
      </c>
      <c r="H47" t="s">
        <v>425</v>
      </c>
      <c r="I47" t="s">
        <v>425</v>
      </c>
      <c r="J47" t="s">
        <v>425</v>
      </c>
      <c r="K47" t="s">
        <v>288</v>
      </c>
      <c r="L47" t="s">
        <v>425</v>
      </c>
      <c r="M47">
        <v>0.25</v>
      </c>
    </row>
    <row r="49" spans="1:14" x14ac:dyDescent="0.3">
      <c r="A49" t="s">
        <v>419</v>
      </c>
      <c r="B49" t="s">
        <v>319</v>
      </c>
      <c r="C49" t="s">
        <v>369</v>
      </c>
      <c r="D49" t="s">
        <v>422</v>
      </c>
      <c r="E49">
        <v>0.5</v>
      </c>
      <c r="F49">
        <v>0.5</v>
      </c>
      <c r="G49">
        <v>0.25</v>
      </c>
      <c r="H49">
        <v>0.5</v>
      </c>
      <c r="I49">
        <v>0.5</v>
      </c>
      <c r="J49">
        <v>0</v>
      </c>
      <c r="K49">
        <v>0</v>
      </c>
      <c r="L49">
        <v>0.5</v>
      </c>
      <c r="M49">
        <v>1</v>
      </c>
      <c r="N49" t="s">
        <v>438</v>
      </c>
    </row>
    <row r="50" spans="1:14" x14ac:dyDescent="0.3">
      <c r="A50" t="s">
        <v>419</v>
      </c>
      <c r="B50" t="s">
        <v>319</v>
      </c>
      <c r="C50" t="s">
        <v>369</v>
      </c>
      <c r="D50" t="s">
        <v>439</v>
      </c>
      <c r="E50" t="s">
        <v>424</v>
      </c>
      <c r="F50" t="s">
        <v>425</v>
      </c>
      <c r="G50" t="s">
        <v>425</v>
      </c>
      <c r="H50" t="s">
        <v>425</v>
      </c>
      <c r="I50" t="s">
        <v>425</v>
      </c>
      <c r="J50" t="s">
        <v>425</v>
      </c>
      <c r="K50" t="s">
        <v>288</v>
      </c>
      <c r="L50" t="s">
        <v>424</v>
      </c>
      <c r="M50">
        <v>0.25</v>
      </c>
    </row>
    <row r="51" spans="1:14" x14ac:dyDescent="0.3">
      <c r="A51" t="s">
        <v>419</v>
      </c>
      <c r="B51" t="s">
        <v>319</v>
      </c>
      <c r="C51" t="s">
        <v>369</v>
      </c>
      <c r="D51" t="s">
        <v>321</v>
      </c>
      <c r="E51" t="s">
        <v>424</v>
      </c>
      <c r="F51" t="s">
        <v>424</v>
      </c>
      <c r="G51" t="s">
        <v>425</v>
      </c>
      <c r="H51" t="s">
        <v>424</v>
      </c>
      <c r="I51" t="s">
        <v>424</v>
      </c>
      <c r="J51" t="s">
        <v>425</v>
      </c>
      <c r="K51" t="s">
        <v>288</v>
      </c>
      <c r="L51" t="s">
        <v>425</v>
      </c>
      <c r="M51">
        <v>0.5</v>
      </c>
    </row>
    <row r="52" spans="1:14" x14ac:dyDescent="0.3">
      <c r="A52" t="s">
        <v>419</v>
      </c>
      <c r="B52" t="s">
        <v>319</v>
      </c>
      <c r="C52" t="s">
        <v>369</v>
      </c>
      <c r="D52" t="s">
        <v>322</v>
      </c>
      <c r="E52" t="s">
        <v>424</v>
      </c>
      <c r="F52" t="s">
        <v>425</v>
      </c>
      <c r="G52" t="s">
        <v>424</v>
      </c>
      <c r="H52" t="s">
        <v>425</v>
      </c>
      <c r="I52" t="s">
        <v>425</v>
      </c>
      <c r="J52" t="s">
        <v>425</v>
      </c>
      <c r="K52" t="s">
        <v>288</v>
      </c>
      <c r="L52" t="s">
        <v>424</v>
      </c>
      <c r="M52">
        <v>0.25</v>
      </c>
    </row>
    <row r="53" spans="1:14" x14ac:dyDescent="0.3">
      <c r="A53" t="s">
        <v>419</v>
      </c>
      <c r="B53" t="s">
        <v>319</v>
      </c>
      <c r="C53" t="s">
        <v>369</v>
      </c>
      <c r="D53" t="s">
        <v>440</v>
      </c>
      <c r="E53" t="s">
        <v>425</v>
      </c>
      <c r="F53" t="s">
        <v>425</v>
      </c>
      <c r="G53" t="s">
        <v>425</v>
      </c>
      <c r="H53" t="s">
        <v>425</v>
      </c>
      <c r="I53" t="s">
        <v>425</v>
      </c>
      <c r="J53" t="s">
        <v>425</v>
      </c>
      <c r="K53" t="s">
        <v>288</v>
      </c>
      <c r="L53" t="s">
        <v>425</v>
      </c>
      <c r="M53">
        <v>0.25</v>
      </c>
    </row>
    <row r="54" spans="1:14" x14ac:dyDescent="0.3">
      <c r="A54" t="s">
        <v>419</v>
      </c>
      <c r="B54" t="s">
        <v>319</v>
      </c>
      <c r="C54" t="s">
        <v>369</v>
      </c>
      <c r="D54" t="s">
        <v>441</v>
      </c>
      <c r="E54" t="s">
        <v>425</v>
      </c>
      <c r="F54" t="s">
        <v>425</v>
      </c>
      <c r="G54" t="s">
        <v>425</v>
      </c>
      <c r="H54" t="s">
        <v>425</v>
      </c>
      <c r="I54" t="s">
        <v>425</v>
      </c>
      <c r="J54" t="s">
        <v>425</v>
      </c>
      <c r="K54" t="s">
        <v>288</v>
      </c>
      <c r="L54" t="s">
        <v>425</v>
      </c>
      <c r="M54">
        <v>0.25</v>
      </c>
    </row>
    <row r="56" spans="1:14" x14ac:dyDescent="0.3">
      <c r="A56" t="s">
        <v>419</v>
      </c>
      <c r="B56" t="s">
        <v>319</v>
      </c>
      <c r="C56" t="s">
        <v>368</v>
      </c>
      <c r="D56" t="s">
        <v>422</v>
      </c>
      <c r="E56">
        <v>0</v>
      </c>
      <c r="F56">
        <v>0</v>
      </c>
      <c r="G56">
        <v>0.5</v>
      </c>
      <c r="H56">
        <v>0.5</v>
      </c>
      <c r="I56">
        <v>0</v>
      </c>
      <c r="J56">
        <v>0</v>
      </c>
      <c r="K56">
        <v>0</v>
      </c>
      <c r="L56">
        <v>0</v>
      </c>
      <c r="M56">
        <v>0.75</v>
      </c>
      <c r="N56" t="s">
        <v>442</v>
      </c>
    </row>
    <row r="57" spans="1:14" x14ac:dyDescent="0.3">
      <c r="A57" t="s">
        <v>419</v>
      </c>
      <c r="B57" t="s">
        <v>319</v>
      </c>
      <c r="C57" t="s">
        <v>368</v>
      </c>
      <c r="D57" t="s">
        <v>321</v>
      </c>
      <c r="E57" t="s">
        <v>425</v>
      </c>
      <c r="F57" t="s">
        <v>425</v>
      </c>
      <c r="G57" t="s">
        <v>424</v>
      </c>
      <c r="H57" t="s">
        <v>424</v>
      </c>
      <c r="I57" t="s">
        <v>425</v>
      </c>
      <c r="J57" t="s">
        <v>425</v>
      </c>
      <c r="K57" t="s">
        <v>288</v>
      </c>
      <c r="L57" t="s">
        <v>425</v>
      </c>
      <c r="M57">
        <v>0.5</v>
      </c>
    </row>
    <row r="58" spans="1:14" x14ac:dyDescent="0.3">
      <c r="A58" t="s">
        <v>419</v>
      </c>
      <c r="B58" t="s">
        <v>319</v>
      </c>
      <c r="C58" t="s">
        <v>368</v>
      </c>
      <c r="D58" t="s">
        <v>443</v>
      </c>
      <c r="E58" t="s">
        <v>425</v>
      </c>
      <c r="F58" t="s">
        <v>425</v>
      </c>
      <c r="G58" t="s">
        <v>425</v>
      </c>
      <c r="H58" t="s">
        <v>425</v>
      </c>
      <c r="I58" t="s">
        <v>425</v>
      </c>
      <c r="J58" t="s">
        <v>425</v>
      </c>
      <c r="K58" t="s">
        <v>288</v>
      </c>
      <c r="L58" t="s">
        <v>425</v>
      </c>
      <c r="M58">
        <v>0.25</v>
      </c>
    </row>
    <row r="59" spans="1:14" x14ac:dyDescent="0.3">
      <c r="A59" t="s">
        <v>419</v>
      </c>
      <c r="B59" t="s">
        <v>319</v>
      </c>
      <c r="C59" t="s">
        <v>368</v>
      </c>
      <c r="D59" t="s">
        <v>444</v>
      </c>
      <c r="E59" t="s">
        <v>425</v>
      </c>
      <c r="F59" t="s">
        <v>425</v>
      </c>
      <c r="G59" t="s">
        <v>425</v>
      </c>
      <c r="H59" t="s">
        <v>425</v>
      </c>
      <c r="I59" t="s">
        <v>425</v>
      </c>
      <c r="J59" t="s">
        <v>425</v>
      </c>
      <c r="K59" t="s">
        <v>288</v>
      </c>
      <c r="L59" t="s">
        <v>425</v>
      </c>
      <c r="M59">
        <v>0.25</v>
      </c>
    </row>
    <row r="60" spans="1:14" x14ac:dyDescent="0.3">
      <c r="A60" t="s">
        <v>419</v>
      </c>
      <c r="B60" t="s">
        <v>319</v>
      </c>
      <c r="C60" t="s">
        <v>368</v>
      </c>
      <c r="D60" t="s">
        <v>445</v>
      </c>
      <c r="E60" t="s">
        <v>425</v>
      </c>
      <c r="F60" t="s">
        <v>425</v>
      </c>
      <c r="G60" t="s">
        <v>425</v>
      </c>
      <c r="H60" t="s">
        <v>425</v>
      </c>
      <c r="I60" t="s">
        <v>425</v>
      </c>
      <c r="J60" t="s">
        <v>425</v>
      </c>
      <c r="K60" t="s">
        <v>288</v>
      </c>
      <c r="L60" t="s">
        <v>425</v>
      </c>
      <c r="M60">
        <v>0.25</v>
      </c>
    </row>
    <row r="62" spans="1:14" x14ac:dyDescent="0.3">
      <c r="A62" t="s">
        <v>419</v>
      </c>
      <c r="B62" t="s">
        <v>319</v>
      </c>
      <c r="C62" t="s">
        <v>370</v>
      </c>
      <c r="D62" t="s">
        <v>422</v>
      </c>
      <c r="E62">
        <v>1</v>
      </c>
      <c r="F62">
        <v>0.5</v>
      </c>
      <c r="G62">
        <v>0.5</v>
      </c>
      <c r="H62">
        <v>1</v>
      </c>
      <c r="I62">
        <v>0.5</v>
      </c>
      <c r="J62">
        <v>0.5</v>
      </c>
      <c r="K62">
        <v>0</v>
      </c>
      <c r="L62">
        <v>0.25</v>
      </c>
      <c r="M62">
        <v>1.5</v>
      </c>
      <c r="N62" t="s">
        <v>446</v>
      </c>
    </row>
    <row r="63" spans="1:14" x14ac:dyDescent="0.3">
      <c r="A63" t="s">
        <v>419</v>
      </c>
      <c r="B63" t="s">
        <v>319</v>
      </c>
      <c r="C63" t="s">
        <v>370</v>
      </c>
      <c r="D63" t="s">
        <v>321</v>
      </c>
      <c r="E63" t="s">
        <v>425</v>
      </c>
      <c r="F63" t="s">
        <v>424</v>
      </c>
      <c r="G63" t="s">
        <v>425</v>
      </c>
      <c r="H63" t="s">
        <v>425</v>
      </c>
      <c r="I63" t="s">
        <v>425</v>
      </c>
      <c r="J63" t="s">
        <v>424</v>
      </c>
      <c r="K63" t="s">
        <v>288</v>
      </c>
      <c r="L63" t="s">
        <v>425</v>
      </c>
      <c r="M63">
        <v>0.5</v>
      </c>
    </row>
    <row r="64" spans="1:14" x14ac:dyDescent="0.3">
      <c r="A64" t="s">
        <v>419</v>
      </c>
      <c r="B64" t="s">
        <v>319</v>
      </c>
      <c r="C64" t="s">
        <v>370</v>
      </c>
      <c r="D64" t="s">
        <v>447</v>
      </c>
      <c r="E64" t="s">
        <v>424</v>
      </c>
      <c r="F64" t="s">
        <v>424</v>
      </c>
      <c r="G64" t="s">
        <v>424</v>
      </c>
      <c r="H64" t="s">
        <v>424</v>
      </c>
      <c r="I64" t="s">
        <v>424</v>
      </c>
      <c r="J64" t="s">
        <v>425</v>
      </c>
      <c r="K64" t="s">
        <v>288</v>
      </c>
      <c r="L64" t="s">
        <v>424</v>
      </c>
      <c r="M64">
        <v>0.25</v>
      </c>
    </row>
    <row r="65" spans="1:14" x14ac:dyDescent="0.3">
      <c r="A65" t="s">
        <v>419</v>
      </c>
      <c r="B65" t="s">
        <v>319</v>
      </c>
      <c r="C65" t="s">
        <v>370</v>
      </c>
      <c r="D65" t="s">
        <v>448</v>
      </c>
      <c r="E65" t="s">
        <v>424</v>
      </c>
      <c r="F65" t="s">
        <v>425</v>
      </c>
      <c r="G65" t="s">
        <v>424</v>
      </c>
      <c r="H65" t="s">
        <v>424</v>
      </c>
      <c r="I65" t="s">
        <v>425</v>
      </c>
      <c r="J65" t="s">
        <v>425</v>
      </c>
      <c r="K65" t="s">
        <v>288</v>
      </c>
      <c r="L65" t="s">
        <v>425</v>
      </c>
      <c r="M65">
        <v>0.25</v>
      </c>
    </row>
    <row r="66" spans="1:14" x14ac:dyDescent="0.3">
      <c r="A66" t="s">
        <v>419</v>
      </c>
      <c r="B66" t="s">
        <v>319</v>
      </c>
      <c r="C66" t="s">
        <v>370</v>
      </c>
      <c r="D66" t="s">
        <v>449</v>
      </c>
      <c r="E66" t="s">
        <v>425</v>
      </c>
      <c r="F66" t="s">
        <v>424</v>
      </c>
      <c r="G66" t="s">
        <v>425</v>
      </c>
      <c r="H66" t="s">
        <v>424</v>
      </c>
      <c r="I66" t="s">
        <v>425</v>
      </c>
      <c r="J66" t="s">
        <v>425</v>
      </c>
      <c r="K66" t="s">
        <v>288</v>
      </c>
      <c r="L66" t="s">
        <v>425</v>
      </c>
      <c r="M66">
        <v>0.25</v>
      </c>
    </row>
    <row r="67" spans="1:14" x14ac:dyDescent="0.3">
      <c r="A67" t="s">
        <v>419</v>
      </c>
      <c r="B67" t="s">
        <v>319</v>
      </c>
      <c r="C67" t="s">
        <v>370</v>
      </c>
      <c r="D67" t="s">
        <v>450</v>
      </c>
      <c r="E67" t="s">
        <v>424</v>
      </c>
      <c r="F67" t="s">
        <v>425</v>
      </c>
      <c r="G67" t="s">
        <v>425</v>
      </c>
      <c r="H67" t="s">
        <v>424</v>
      </c>
      <c r="I67" t="s">
        <v>425</v>
      </c>
      <c r="J67" t="s">
        <v>425</v>
      </c>
      <c r="K67" t="s">
        <v>288</v>
      </c>
      <c r="L67" t="s">
        <v>425</v>
      </c>
      <c r="M67">
        <v>0.25</v>
      </c>
    </row>
    <row r="68" spans="1:14" x14ac:dyDescent="0.3">
      <c r="A68" t="s">
        <v>419</v>
      </c>
      <c r="B68" t="s">
        <v>319</v>
      </c>
      <c r="C68" t="s">
        <v>370</v>
      </c>
      <c r="D68" t="s">
        <v>451</v>
      </c>
      <c r="E68" t="s">
        <v>424</v>
      </c>
      <c r="F68" t="s">
        <v>425</v>
      </c>
      <c r="G68" t="s">
        <v>425</v>
      </c>
      <c r="H68" t="s">
        <v>425</v>
      </c>
      <c r="I68" t="s">
        <v>424</v>
      </c>
      <c r="J68" t="s">
        <v>425</v>
      </c>
      <c r="K68" t="s">
        <v>288</v>
      </c>
      <c r="L68" t="s">
        <v>425</v>
      </c>
      <c r="M68">
        <v>0.25</v>
      </c>
    </row>
    <row r="69" spans="1:14" x14ac:dyDescent="0.3">
      <c r="A69" t="s">
        <v>419</v>
      </c>
      <c r="B69" t="s">
        <v>319</v>
      </c>
      <c r="C69" t="s">
        <v>370</v>
      </c>
      <c r="D69" t="s">
        <v>452</v>
      </c>
      <c r="E69" t="s">
        <v>425</v>
      </c>
      <c r="F69" t="s">
        <v>425</v>
      </c>
      <c r="G69" t="s">
        <v>425</v>
      </c>
      <c r="H69" t="s">
        <v>425</v>
      </c>
      <c r="I69" t="s">
        <v>425</v>
      </c>
      <c r="J69" t="s">
        <v>425</v>
      </c>
      <c r="K69" t="s">
        <v>288</v>
      </c>
      <c r="L69" t="s">
        <v>425</v>
      </c>
      <c r="M69">
        <v>0.25</v>
      </c>
    </row>
    <row r="71" spans="1:14" x14ac:dyDescent="0.3">
      <c r="A71" t="s">
        <v>419</v>
      </c>
      <c r="B71" t="s">
        <v>319</v>
      </c>
      <c r="C71" t="s">
        <v>377</v>
      </c>
      <c r="D71" t="s">
        <v>422</v>
      </c>
      <c r="E71">
        <v>0.75</v>
      </c>
      <c r="F71">
        <v>0</v>
      </c>
      <c r="G71">
        <v>0</v>
      </c>
      <c r="H71">
        <v>0.75</v>
      </c>
      <c r="I71">
        <v>0</v>
      </c>
      <c r="J71">
        <v>0.25</v>
      </c>
      <c r="K71">
        <v>0</v>
      </c>
      <c r="L71">
        <v>0</v>
      </c>
      <c r="M71">
        <v>1</v>
      </c>
      <c r="N71" t="s">
        <v>453</v>
      </c>
    </row>
    <row r="72" spans="1:14" x14ac:dyDescent="0.3">
      <c r="A72" t="s">
        <v>419</v>
      </c>
      <c r="B72" t="s">
        <v>319</v>
      </c>
      <c r="C72" t="s">
        <v>377</v>
      </c>
      <c r="D72" t="s">
        <v>454</v>
      </c>
      <c r="E72" t="s">
        <v>425</v>
      </c>
      <c r="F72" t="s">
        <v>425</v>
      </c>
      <c r="G72" t="s">
        <v>424</v>
      </c>
      <c r="H72" t="s">
        <v>425</v>
      </c>
      <c r="I72" t="s">
        <v>425</v>
      </c>
      <c r="J72" t="s">
        <v>425</v>
      </c>
      <c r="K72" t="s">
        <v>288</v>
      </c>
      <c r="L72" t="s">
        <v>424</v>
      </c>
      <c r="M72">
        <v>0</v>
      </c>
    </row>
    <row r="73" spans="1:14" x14ac:dyDescent="0.3">
      <c r="A73" t="s">
        <v>419</v>
      </c>
      <c r="B73" t="s">
        <v>319</v>
      </c>
      <c r="C73" t="s">
        <v>377</v>
      </c>
      <c r="D73" t="s">
        <v>455</v>
      </c>
      <c r="E73" t="s">
        <v>425</v>
      </c>
      <c r="F73" t="s">
        <v>425</v>
      </c>
      <c r="G73" t="s">
        <v>425</v>
      </c>
      <c r="H73" t="s">
        <v>425</v>
      </c>
      <c r="I73" t="s">
        <v>425</v>
      </c>
      <c r="J73" t="s">
        <v>424</v>
      </c>
      <c r="K73" t="s">
        <v>288</v>
      </c>
      <c r="L73" t="s">
        <v>425</v>
      </c>
      <c r="M73">
        <v>0.25</v>
      </c>
    </row>
    <row r="74" spans="1:14" x14ac:dyDescent="0.3">
      <c r="A74" t="s">
        <v>419</v>
      </c>
      <c r="B74" t="s">
        <v>319</v>
      </c>
      <c r="C74" t="s">
        <v>377</v>
      </c>
      <c r="D74" t="s">
        <v>456</v>
      </c>
      <c r="E74" t="s">
        <v>425</v>
      </c>
      <c r="F74" t="s">
        <v>425</v>
      </c>
      <c r="G74" t="s">
        <v>425</v>
      </c>
      <c r="H74" t="s">
        <v>425</v>
      </c>
      <c r="I74" t="s">
        <v>425</v>
      </c>
      <c r="J74" t="s">
        <v>425</v>
      </c>
      <c r="K74" t="s">
        <v>288</v>
      </c>
      <c r="L74" t="s">
        <v>425</v>
      </c>
      <c r="M74">
        <v>0.5</v>
      </c>
    </row>
    <row r="75" spans="1:14" x14ac:dyDescent="0.3">
      <c r="A75" t="s">
        <v>419</v>
      </c>
      <c r="B75" t="s">
        <v>319</v>
      </c>
      <c r="C75" t="s">
        <v>377</v>
      </c>
      <c r="D75" t="s">
        <v>457</v>
      </c>
      <c r="E75" t="s">
        <v>424</v>
      </c>
      <c r="F75" t="s">
        <v>425</v>
      </c>
      <c r="G75" t="s">
        <v>425</v>
      </c>
      <c r="H75" t="s">
        <v>424</v>
      </c>
      <c r="I75" t="s">
        <v>425</v>
      </c>
      <c r="J75" t="s">
        <v>425</v>
      </c>
      <c r="K75" t="s">
        <v>288</v>
      </c>
      <c r="L75" t="s">
        <v>425</v>
      </c>
      <c r="M75">
        <v>0.75</v>
      </c>
    </row>
    <row r="76" spans="1:14" x14ac:dyDescent="0.3">
      <c r="A76" t="s">
        <v>419</v>
      </c>
      <c r="B76" t="s">
        <v>319</v>
      </c>
      <c r="C76" t="s">
        <v>377</v>
      </c>
      <c r="D76" t="s">
        <v>458</v>
      </c>
      <c r="E76" t="s">
        <v>425</v>
      </c>
      <c r="F76" t="s">
        <v>425</v>
      </c>
      <c r="G76" t="s">
        <v>425</v>
      </c>
      <c r="H76" t="s">
        <v>425</v>
      </c>
      <c r="I76" t="s">
        <v>425</v>
      </c>
      <c r="J76" t="s">
        <v>425</v>
      </c>
      <c r="K76" t="s">
        <v>288</v>
      </c>
      <c r="L76" t="s">
        <v>425</v>
      </c>
      <c r="M76">
        <v>1</v>
      </c>
    </row>
    <row r="78" spans="1:14" x14ac:dyDescent="0.3">
      <c r="A78" t="s">
        <v>419</v>
      </c>
      <c r="B78" t="s">
        <v>562</v>
      </c>
      <c r="C78" t="s">
        <v>372</v>
      </c>
      <c r="D78" t="s">
        <v>422</v>
      </c>
      <c r="E78">
        <v>2</v>
      </c>
      <c r="F78">
        <v>0.5</v>
      </c>
      <c r="G78">
        <v>0.25</v>
      </c>
      <c r="H78">
        <v>1.5</v>
      </c>
      <c r="I78">
        <v>1.25</v>
      </c>
      <c r="J78">
        <v>1</v>
      </c>
      <c r="K78">
        <v>0</v>
      </c>
      <c r="L78">
        <v>0.75</v>
      </c>
      <c r="M78">
        <v>2.25</v>
      </c>
      <c r="N78" t="s">
        <v>460</v>
      </c>
    </row>
    <row r="79" spans="1:14" x14ac:dyDescent="0.3">
      <c r="A79" t="s">
        <v>419</v>
      </c>
      <c r="B79" t="s">
        <v>562</v>
      </c>
      <c r="C79" t="s">
        <v>372</v>
      </c>
      <c r="D79" t="s">
        <v>461</v>
      </c>
      <c r="E79" t="s">
        <v>425</v>
      </c>
      <c r="F79" t="s">
        <v>425</v>
      </c>
      <c r="G79" t="s">
        <v>425</v>
      </c>
      <c r="H79" t="s">
        <v>425</v>
      </c>
      <c r="I79" t="s">
        <v>425</v>
      </c>
      <c r="J79" t="s">
        <v>425</v>
      </c>
      <c r="K79" t="s">
        <v>288</v>
      </c>
      <c r="L79" t="s">
        <v>425</v>
      </c>
      <c r="M79">
        <v>0.25</v>
      </c>
    </row>
    <row r="80" spans="1:14" x14ac:dyDescent="0.3">
      <c r="A80" t="s">
        <v>419</v>
      </c>
      <c r="B80" t="s">
        <v>562</v>
      </c>
      <c r="C80" t="s">
        <v>372</v>
      </c>
      <c r="D80" t="s">
        <v>462</v>
      </c>
      <c r="E80" t="s">
        <v>424</v>
      </c>
      <c r="F80" t="s">
        <v>425</v>
      </c>
      <c r="G80" t="s">
        <v>425</v>
      </c>
      <c r="H80" t="s">
        <v>424</v>
      </c>
      <c r="I80" t="s">
        <v>424</v>
      </c>
      <c r="J80" t="s">
        <v>425</v>
      </c>
      <c r="K80" t="s">
        <v>288</v>
      </c>
      <c r="L80" t="s">
        <v>425</v>
      </c>
      <c r="M80">
        <v>0.25</v>
      </c>
    </row>
    <row r="81" spans="1:14" x14ac:dyDescent="0.3">
      <c r="A81" t="s">
        <v>419</v>
      </c>
      <c r="B81" t="s">
        <v>562</v>
      </c>
      <c r="C81" t="s">
        <v>372</v>
      </c>
      <c r="D81" t="s">
        <v>463</v>
      </c>
      <c r="E81" t="s">
        <v>424</v>
      </c>
      <c r="F81" t="s">
        <v>424</v>
      </c>
      <c r="G81" t="s">
        <v>425</v>
      </c>
      <c r="H81" t="s">
        <v>424</v>
      </c>
      <c r="I81" t="s">
        <v>424</v>
      </c>
      <c r="J81" t="s">
        <v>424</v>
      </c>
      <c r="K81" t="s">
        <v>288</v>
      </c>
      <c r="L81" t="s">
        <v>424</v>
      </c>
      <c r="M81">
        <v>0.25</v>
      </c>
    </row>
    <row r="82" spans="1:14" x14ac:dyDescent="0.3">
      <c r="A82" t="s">
        <v>419</v>
      </c>
      <c r="B82" t="s">
        <v>562</v>
      </c>
      <c r="C82" t="s">
        <v>372</v>
      </c>
      <c r="D82" t="s">
        <v>367</v>
      </c>
      <c r="E82" t="s">
        <v>424</v>
      </c>
      <c r="F82" t="s">
        <v>425</v>
      </c>
      <c r="G82" t="s">
        <v>425</v>
      </c>
      <c r="H82" t="s">
        <v>424</v>
      </c>
      <c r="I82" t="s">
        <v>425</v>
      </c>
      <c r="J82" t="s">
        <v>425</v>
      </c>
      <c r="K82" t="s">
        <v>288</v>
      </c>
      <c r="L82" t="s">
        <v>425</v>
      </c>
      <c r="M82">
        <v>0.25</v>
      </c>
    </row>
    <row r="83" spans="1:14" x14ac:dyDescent="0.3">
      <c r="A83" t="s">
        <v>419</v>
      </c>
      <c r="B83" t="s">
        <v>562</v>
      </c>
      <c r="C83" t="s">
        <v>372</v>
      </c>
      <c r="D83" t="s">
        <v>464</v>
      </c>
      <c r="E83" t="s">
        <v>424</v>
      </c>
      <c r="F83" t="s">
        <v>425</v>
      </c>
      <c r="G83" t="s">
        <v>425</v>
      </c>
      <c r="H83" t="s">
        <v>424</v>
      </c>
      <c r="I83" t="s">
        <v>424</v>
      </c>
      <c r="J83" t="s">
        <v>424</v>
      </c>
      <c r="K83" t="s">
        <v>288</v>
      </c>
      <c r="L83" t="s">
        <v>424</v>
      </c>
      <c r="M83">
        <v>0.25</v>
      </c>
    </row>
    <row r="84" spans="1:14" x14ac:dyDescent="0.3">
      <c r="A84" t="s">
        <v>419</v>
      </c>
      <c r="B84" t="s">
        <v>562</v>
      </c>
      <c r="C84" t="s">
        <v>372</v>
      </c>
      <c r="D84" t="s">
        <v>465</v>
      </c>
      <c r="E84" t="s">
        <v>424</v>
      </c>
      <c r="F84" t="s">
        <v>425</v>
      </c>
      <c r="G84" t="s">
        <v>425</v>
      </c>
      <c r="H84" t="s">
        <v>424</v>
      </c>
      <c r="I84" t="s">
        <v>425</v>
      </c>
      <c r="J84" t="s">
        <v>425</v>
      </c>
      <c r="K84" t="s">
        <v>288</v>
      </c>
      <c r="L84" t="s">
        <v>425</v>
      </c>
      <c r="M84">
        <v>0.25</v>
      </c>
    </row>
    <row r="85" spans="1:14" x14ac:dyDescent="0.3">
      <c r="A85" t="s">
        <v>419</v>
      </c>
      <c r="B85" t="s">
        <v>562</v>
      </c>
      <c r="C85" t="s">
        <v>372</v>
      </c>
      <c r="D85" t="s">
        <v>466</v>
      </c>
      <c r="E85" t="s">
        <v>424</v>
      </c>
      <c r="F85" t="s">
        <v>425</v>
      </c>
      <c r="G85" t="s">
        <v>425</v>
      </c>
      <c r="H85" t="s">
        <v>425</v>
      </c>
      <c r="I85" t="s">
        <v>425</v>
      </c>
      <c r="J85" t="s">
        <v>425</v>
      </c>
      <c r="K85" t="s">
        <v>288</v>
      </c>
      <c r="L85" t="s">
        <v>425</v>
      </c>
      <c r="M85">
        <v>0.25</v>
      </c>
    </row>
    <row r="86" spans="1:14" x14ac:dyDescent="0.3">
      <c r="A86" t="s">
        <v>419</v>
      </c>
      <c r="B86" t="s">
        <v>562</v>
      </c>
      <c r="C86" t="s">
        <v>372</v>
      </c>
      <c r="D86" t="s">
        <v>467</v>
      </c>
      <c r="E86" t="s">
        <v>424</v>
      </c>
      <c r="F86" t="s">
        <v>424</v>
      </c>
      <c r="G86" t="s">
        <v>424</v>
      </c>
      <c r="H86" t="s">
        <v>424</v>
      </c>
      <c r="I86" t="s">
        <v>424</v>
      </c>
      <c r="J86" t="s">
        <v>424</v>
      </c>
      <c r="K86" t="s">
        <v>288</v>
      </c>
      <c r="L86" t="s">
        <v>424</v>
      </c>
      <c r="M86">
        <v>0.25</v>
      </c>
    </row>
    <row r="87" spans="1:14" x14ac:dyDescent="0.3">
      <c r="A87" t="s">
        <v>419</v>
      </c>
      <c r="B87" t="s">
        <v>562</v>
      </c>
      <c r="C87" t="s">
        <v>372</v>
      </c>
      <c r="D87" t="s">
        <v>468</v>
      </c>
      <c r="E87" t="s">
        <v>424</v>
      </c>
      <c r="F87" t="s">
        <v>425</v>
      </c>
      <c r="G87" t="s">
        <v>425</v>
      </c>
      <c r="H87" t="s">
        <v>425</v>
      </c>
      <c r="I87" t="s">
        <v>424</v>
      </c>
      <c r="J87" t="s">
        <v>424</v>
      </c>
      <c r="K87" t="s">
        <v>288</v>
      </c>
      <c r="L87" t="s">
        <v>425</v>
      </c>
      <c r="M87">
        <v>0.25</v>
      </c>
    </row>
    <row r="89" spans="1:14" x14ac:dyDescent="0.3">
      <c r="A89" t="s">
        <v>419</v>
      </c>
      <c r="B89" t="s">
        <v>562</v>
      </c>
      <c r="C89" t="s">
        <v>359</v>
      </c>
      <c r="D89" t="s">
        <v>422</v>
      </c>
      <c r="E89">
        <v>0.25</v>
      </c>
      <c r="F89">
        <v>0.25</v>
      </c>
      <c r="G89">
        <v>0.25</v>
      </c>
      <c r="H89">
        <v>0.75</v>
      </c>
      <c r="I89">
        <v>0.25</v>
      </c>
      <c r="J89">
        <v>0.5</v>
      </c>
      <c r="K89">
        <v>0</v>
      </c>
      <c r="L89">
        <v>0.25</v>
      </c>
      <c r="M89">
        <v>1.25</v>
      </c>
      <c r="N89" t="s">
        <v>469</v>
      </c>
    </row>
    <row r="90" spans="1:14" x14ac:dyDescent="0.3">
      <c r="A90" t="s">
        <v>419</v>
      </c>
      <c r="B90" t="s">
        <v>562</v>
      </c>
      <c r="C90" t="s">
        <v>359</v>
      </c>
      <c r="D90" t="s">
        <v>470</v>
      </c>
      <c r="E90" t="s">
        <v>425</v>
      </c>
      <c r="F90" t="s">
        <v>425</v>
      </c>
      <c r="G90" t="s">
        <v>425</v>
      </c>
      <c r="H90" t="s">
        <v>424</v>
      </c>
      <c r="I90" t="s">
        <v>425</v>
      </c>
      <c r="J90" t="s">
        <v>424</v>
      </c>
      <c r="K90" t="s">
        <v>288</v>
      </c>
      <c r="L90" t="s">
        <v>425</v>
      </c>
      <c r="M90">
        <v>0.25</v>
      </c>
    </row>
    <row r="91" spans="1:14" x14ac:dyDescent="0.3">
      <c r="A91" t="s">
        <v>419</v>
      </c>
      <c r="B91" t="s">
        <v>562</v>
      </c>
      <c r="C91" t="s">
        <v>359</v>
      </c>
      <c r="D91" t="s">
        <v>471</v>
      </c>
      <c r="E91" t="s">
        <v>425</v>
      </c>
      <c r="F91" t="s">
        <v>425</v>
      </c>
      <c r="G91" t="s">
        <v>425</v>
      </c>
      <c r="H91" t="s">
        <v>425</v>
      </c>
      <c r="I91" t="s">
        <v>425</v>
      </c>
      <c r="J91" t="s">
        <v>425</v>
      </c>
      <c r="K91" t="s">
        <v>288</v>
      </c>
      <c r="L91" t="s">
        <v>424</v>
      </c>
      <c r="M91">
        <v>0.25</v>
      </c>
    </row>
    <row r="92" spans="1:14" x14ac:dyDescent="0.3">
      <c r="A92" t="s">
        <v>419</v>
      </c>
      <c r="B92" t="s">
        <v>562</v>
      </c>
      <c r="C92" t="s">
        <v>359</v>
      </c>
      <c r="D92" t="s">
        <v>472</v>
      </c>
      <c r="E92" t="s">
        <v>424</v>
      </c>
      <c r="F92" t="s">
        <v>425</v>
      </c>
      <c r="G92" t="s">
        <v>425</v>
      </c>
      <c r="H92" t="s">
        <v>425</v>
      </c>
      <c r="I92" t="s">
        <v>425</v>
      </c>
      <c r="J92" t="s">
        <v>425</v>
      </c>
      <c r="K92" t="s">
        <v>288</v>
      </c>
      <c r="L92" t="s">
        <v>425</v>
      </c>
      <c r="M92">
        <v>0.25</v>
      </c>
    </row>
    <row r="93" spans="1:14" x14ac:dyDescent="0.3">
      <c r="A93" t="s">
        <v>419</v>
      </c>
      <c r="B93" t="s">
        <v>562</v>
      </c>
      <c r="C93" t="s">
        <v>359</v>
      </c>
      <c r="D93" t="s">
        <v>473</v>
      </c>
      <c r="E93" t="s">
        <v>425</v>
      </c>
      <c r="F93" t="s">
        <v>425</v>
      </c>
      <c r="G93" t="s">
        <v>425</v>
      </c>
      <c r="H93" t="s">
        <v>424</v>
      </c>
      <c r="I93" t="s">
        <v>425</v>
      </c>
      <c r="J93" t="s">
        <v>425</v>
      </c>
      <c r="K93" t="s">
        <v>288</v>
      </c>
      <c r="L93" t="s">
        <v>425</v>
      </c>
      <c r="M93">
        <v>0.5</v>
      </c>
    </row>
    <row r="94" spans="1:14" x14ac:dyDescent="0.3">
      <c r="A94" t="s">
        <v>419</v>
      </c>
      <c r="B94" t="s">
        <v>562</v>
      </c>
      <c r="C94" t="s">
        <v>359</v>
      </c>
      <c r="D94" t="s">
        <v>325</v>
      </c>
      <c r="E94" t="s">
        <v>425</v>
      </c>
      <c r="F94" t="s">
        <v>424</v>
      </c>
      <c r="G94" t="s">
        <v>424</v>
      </c>
      <c r="H94" t="s">
        <v>425</v>
      </c>
      <c r="I94" t="s">
        <v>424</v>
      </c>
      <c r="J94" t="s">
        <v>424</v>
      </c>
      <c r="K94" t="s">
        <v>288</v>
      </c>
      <c r="L94" t="s">
        <v>424</v>
      </c>
      <c r="M94">
        <v>0.25</v>
      </c>
    </row>
    <row r="96" spans="1:14" x14ac:dyDescent="0.3">
      <c r="A96" t="s">
        <v>419</v>
      </c>
      <c r="B96" t="s">
        <v>459</v>
      </c>
      <c r="C96" t="s">
        <v>378</v>
      </c>
      <c r="D96" t="s">
        <v>422</v>
      </c>
      <c r="E96">
        <v>0</v>
      </c>
      <c r="F96">
        <v>0.5</v>
      </c>
      <c r="G96">
        <v>0.5</v>
      </c>
      <c r="H96">
        <v>0</v>
      </c>
      <c r="I96">
        <v>0.5</v>
      </c>
      <c r="J96">
        <v>0.5</v>
      </c>
      <c r="K96">
        <v>0</v>
      </c>
      <c r="L96">
        <v>0</v>
      </c>
      <c r="M96">
        <v>0.5</v>
      </c>
      <c r="N96" t="s">
        <v>379</v>
      </c>
    </row>
    <row r="97" spans="1:14" x14ac:dyDescent="0.3">
      <c r="A97" t="s">
        <v>419</v>
      </c>
      <c r="B97" t="s">
        <v>459</v>
      </c>
      <c r="C97" t="s">
        <v>378</v>
      </c>
      <c r="D97" t="s">
        <v>96</v>
      </c>
      <c r="E97" t="s">
        <v>425</v>
      </c>
      <c r="F97" t="s">
        <v>424</v>
      </c>
      <c r="G97" t="s">
        <v>424</v>
      </c>
      <c r="H97" t="s">
        <v>425</v>
      </c>
      <c r="I97" t="s">
        <v>424</v>
      </c>
      <c r="J97" t="s">
        <v>424</v>
      </c>
      <c r="K97" t="s">
        <v>288</v>
      </c>
      <c r="L97" t="s">
        <v>425</v>
      </c>
      <c r="M97">
        <v>0.5</v>
      </c>
    </row>
    <row r="98" spans="1:14" ht="15" thickBot="1" x14ac:dyDescent="0.35"/>
    <row r="99" spans="1:14" ht="15" thickBot="1" x14ac:dyDescent="0.35">
      <c r="A99" s="6" t="s">
        <v>419</v>
      </c>
      <c r="B99" s="7"/>
      <c r="C99" s="7"/>
      <c r="D99" s="7" t="s">
        <v>474</v>
      </c>
      <c r="E99" s="7">
        <f>E96+E89+E78+E71+E62+E56+E49+E42+E16+E8+E4+E2+E34+E18</f>
        <v>9.75</v>
      </c>
      <c r="F99" s="7">
        <f t="shared" ref="F99:M99" si="0">F96+F89+F78+F71+F62+F56+F49+F42+F16+F8+F4+F2+F34+F18</f>
        <v>6.25</v>
      </c>
      <c r="G99" s="7">
        <f t="shared" si="0"/>
        <v>5</v>
      </c>
      <c r="H99" s="7">
        <f t="shared" si="0"/>
        <v>10</v>
      </c>
      <c r="I99" s="7">
        <f t="shared" si="0"/>
        <v>8.25</v>
      </c>
      <c r="J99" s="7">
        <f t="shared" si="0"/>
        <v>7.25</v>
      </c>
      <c r="K99" s="7">
        <v>0</v>
      </c>
      <c r="L99" s="7">
        <f t="shared" si="0"/>
        <v>6</v>
      </c>
      <c r="M99" s="8">
        <f t="shared" si="0"/>
        <v>18.5</v>
      </c>
    </row>
    <row r="101" spans="1:14" x14ac:dyDescent="0.3">
      <c r="A101" t="s">
        <v>475</v>
      </c>
      <c r="B101" t="s">
        <v>476</v>
      </c>
      <c r="C101" t="s">
        <v>327</v>
      </c>
      <c r="D101" t="s">
        <v>422</v>
      </c>
      <c r="E101">
        <v>1.25</v>
      </c>
      <c r="F101">
        <v>1</v>
      </c>
      <c r="G101">
        <v>1.75</v>
      </c>
      <c r="H101">
        <v>1</v>
      </c>
      <c r="I101">
        <v>1</v>
      </c>
      <c r="J101">
        <v>1.25</v>
      </c>
      <c r="K101">
        <v>1.25</v>
      </c>
      <c r="L101">
        <v>1</v>
      </c>
      <c r="M101">
        <v>1.75</v>
      </c>
      <c r="N101" t="s">
        <v>477</v>
      </c>
    </row>
    <row r="102" spans="1:14" x14ac:dyDescent="0.3">
      <c r="A102" t="s">
        <v>475</v>
      </c>
      <c r="B102" t="s">
        <v>476</v>
      </c>
      <c r="C102" t="s">
        <v>327</v>
      </c>
      <c r="D102" t="s">
        <v>478</v>
      </c>
      <c r="E102" t="s">
        <v>424</v>
      </c>
      <c r="F102" t="s">
        <v>424</v>
      </c>
      <c r="G102" t="s">
        <v>424</v>
      </c>
      <c r="H102" t="s">
        <v>424</v>
      </c>
      <c r="I102" t="s">
        <v>424</v>
      </c>
      <c r="J102" t="s">
        <v>424</v>
      </c>
      <c r="K102" t="s">
        <v>424</v>
      </c>
      <c r="L102" t="s">
        <v>424</v>
      </c>
      <c r="M102">
        <v>0.25</v>
      </c>
    </row>
    <row r="103" spans="1:14" x14ac:dyDescent="0.3">
      <c r="A103" t="s">
        <v>475</v>
      </c>
      <c r="B103" t="s">
        <v>476</v>
      </c>
      <c r="C103" t="s">
        <v>327</v>
      </c>
      <c r="D103" t="s">
        <v>479</v>
      </c>
      <c r="E103" t="s">
        <v>424</v>
      </c>
      <c r="F103" t="s">
        <v>424</v>
      </c>
      <c r="G103" t="s">
        <v>424</v>
      </c>
      <c r="H103" t="s">
        <v>424</v>
      </c>
      <c r="I103" t="s">
        <v>424</v>
      </c>
      <c r="J103" t="s">
        <v>424</v>
      </c>
      <c r="K103" t="s">
        <v>424</v>
      </c>
      <c r="L103" t="s">
        <v>424</v>
      </c>
      <c r="M103">
        <v>0.25</v>
      </c>
    </row>
    <row r="104" spans="1:14" x14ac:dyDescent="0.3">
      <c r="A104" t="s">
        <v>475</v>
      </c>
      <c r="B104" t="s">
        <v>476</v>
      </c>
      <c r="C104" t="s">
        <v>327</v>
      </c>
      <c r="D104" t="s">
        <v>480</v>
      </c>
      <c r="E104" t="s">
        <v>424</v>
      </c>
      <c r="F104" t="s">
        <v>424</v>
      </c>
      <c r="G104" t="s">
        <v>424</v>
      </c>
      <c r="H104" t="s">
        <v>424</v>
      </c>
      <c r="I104" t="s">
        <v>424</v>
      </c>
      <c r="J104" t="s">
        <v>424</v>
      </c>
      <c r="K104" t="s">
        <v>424</v>
      </c>
      <c r="L104" t="s">
        <v>424</v>
      </c>
      <c r="M104">
        <v>0.25</v>
      </c>
    </row>
    <row r="105" spans="1:14" x14ac:dyDescent="0.3">
      <c r="A105" t="s">
        <v>475</v>
      </c>
      <c r="B105" t="s">
        <v>476</v>
      </c>
      <c r="C105" t="s">
        <v>327</v>
      </c>
      <c r="D105" t="s">
        <v>481</v>
      </c>
      <c r="E105" t="s">
        <v>425</v>
      </c>
      <c r="F105" t="s">
        <v>425</v>
      </c>
      <c r="G105" t="s">
        <v>424</v>
      </c>
      <c r="H105" t="s">
        <v>425</v>
      </c>
      <c r="I105" t="s">
        <v>425</v>
      </c>
      <c r="J105" t="s">
        <v>424</v>
      </c>
      <c r="K105" t="s">
        <v>424</v>
      </c>
      <c r="L105" t="s">
        <v>425</v>
      </c>
      <c r="M105">
        <v>0.25</v>
      </c>
    </row>
    <row r="106" spans="1:14" x14ac:dyDescent="0.3">
      <c r="A106" t="s">
        <v>475</v>
      </c>
      <c r="B106" t="s">
        <v>476</v>
      </c>
      <c r="C106" t="s">
        <v>327</v>
      </c>
      <c r="D106" t="s">
        <v>482</v>
      </c>
      <c r="E106" t="s">
        <v>425</v>
      </c>
      <c r="F106" t="s">
        <v>425</v>
      </c>
      <c r="G106" t="s">
        <v>424</v>
      </c>
      <c r="H106" t="s">
        <v>425</v>
      </c>
      <c r="I106" t="s">
        <v>425</v>
      </c>
      <c r="J106" t="s">
        <v>425</v>
      </c>
      <c r="K106" t="s">
        <v>425</v>
      </c>
      <c r="L106" t="s">
        <v>425</v>
      </c>
      <c r="M106">
        <v>0.25</v>
      </c>
    </row>
    <row r="107" spans="1:14" x14ac:dyDescent="0.3">
      <c r="A107" t="s">
        <v>475</v>
      </c>
      <c r="B107" t="s">
        <v>476</v>
      </c>
      <c r="C107" t="s">
        <v>327</v>
      </c>
      <c r="D107" t="s">
        <v>483</v>
      </c>
      <c r="E107" t="s">
        <v>425</v>
      </c>
      <c r="F107" t="s">
        <v>425</v>
      </c>
      <c r="G107" t="s">
        <v>424</v>
      </c>
      <c r="H107" t="s">
        <v>424</v>
      </c>
      <c r="I107" t="s">
        <v>424</v>
      </c>
      <c r="J107" t="s">
        <v>424</v>
      </c>
      <c r="K107" t="s">
        <v>424</v>
      </c>
      <c r="L107" t="s">
        <v>424</v>
      </c>
      <c r="M107">
        <v>0.25</v>
      </c>
    </row>
    <row r="108" spans="1:14" x14ac:dyDescent="0.3">
      <c r="A108" t="s">
        <v>475</v>
      </c>
      <c r="B108" t="s">
        <v>476</v>
      </c>
      <c r="C108" t="s">
        <v>327</v>
      </c>
      <c r="D108" t="s">
        <v>484</v>
      </c>
      <c r="E108" t="s">
        <v>424</v>
      </c>
      <c r="F108" t="s">
        <v>424</v>
      </c>
      <c r="G108" t="s">
        <v>424</v>
      </c>
      <c r="H108" t="s">
        <v>425</v>
      </c>
      <c r="I108" t="s">
        <v>425</v>
      </c>
      <c r="J108" t="s">
        <v>425</v>
      </c>
      <c r="K108" t="s">
        <v>425</v>
      </c>
      <c r="L108" t="s">
        <v>425</v>
      </c>
      <c r="M108">
        <v>0.25</v>
      </c>
    </row>
    <row r="109" spans="1:14" x14ac:dyDescent="0.3">
      <c r="A109" t="s">
        <v>475</v>
      </c>
      <c r="B109" t="s">
        <v>476</v>
      </c>
      <c r="C109" t="s">
        <v>327</v>
      </c>
      <c r="D109" t="s">
        <v>485</v>
      </c>
      <c r="E109" t="s">
        <v>424</v>
      </c>
      <c r="F109" t="s">
        <v>424</v>
      </c>
      <c r="G109" t="s">
        <v>424</v>
      </c>
      <c r="H109" t="s">
        <v>425</v>
      </c>
      <c r="I109" t="s">
        <v>425</v>
      </c>
      <c r="J109" t="s">
        <v>425</v>
      </c>
      <c r="K109" t="s">
        <v>425</v>
      </c>
      <c r="L109" t="s">
        <v>425</v>
      </c>
      <c r="M109">
        <v>0.25</v>
      </c>
    </row>
    <row r="111" spans="1:14" x14ac:dyDescent="0.3">
      <c r="A111" t="s">
        <v>475</v>
      </c>
      <c r="B111" t="s">
        <v>486</v>
      </c>
      <c r="C111" t="s">
        <v>380</v>
      </c>
      <c r="D111" t="s">
        <v>422</v>
      </c>
      <c r="E111">
        <v>1.5</v>
      </c>
      <c r="F111">
        <v>1</v>
      </c>
      <c r="G111">
        <v>1.75</v>
      </c>
      <c r="H111">
        <v>1.5</v>
      </c>
      <c r="I111">
        <v>1.25</v>
      </c>
      <c r="J111">
        <v>1.25</v>
      </c>
      <c r="K111">
        <v>1.25</v>
      </c>
      <c r="L111">
        <v>1.25</v>
      </c>
      <c r="M111">
        <v>2</v>
      </c>
      <c r="N111" t="s">
        <v>381</v>
      </c>
    </row>
    <row r="112" spans="1:14" x14ac:dyDescent="0.3">
      <c r="A112" t="s">
        <v>475</v>
      </c>
      <c r="B112" t="s">
        <v>486</v>
      </c>
      <c r="C112" t="s">
        <v>380</v>
      </c>
      <c r="D112" t="s">
        <v>462</v>
      </c>
      <c r="E112" t="s">
        <v>424</v>
      </c>
      <c r="F112" t="s">
        <v>425</v>
      </c>
      <c r="G112" t="s">
        <v>424</v>
      </c>
      <c r="H112" t="s">
        <v>424</v>
      </c>
      <c r="I112" t="s">
        <v>425</v>
      </c>
      <c r="J112" t="s">
        <v>425</v>
      </c>
      <c r="K112" t="s">
        <v>425</v>
      </c>
      <c r="L112" t="s">
        <v>424</v>
      </c>
      <c r="M112">
        <v>0.25</v>
      </c>
    </row>
    <row r="113" spans="1:14" x14ac:dyDescent="0.3">
      <c r="A113" t="s">
        <v>475</v>
      </c>
      <c r="B113" t="s">
        <v>486</v>
      </c>
      <c r="C113" t="s">
        <v>380</v>
      </c>
      <c r="D113" t="s">
        <v>487</v>
      </c>
      <c r="E113" t="s">
        <v>424</v>
      </c>
      <c r="F113" t="s">
        <v>424</v>
      </c>
      <c r="G113" t="s">
        <v>424</v>
      </c>
      <c r="H113" t="s">
        <v>424</v>
      </c>
      <c r="I113" t="s">
        <v>424</v>
      </c>
      <c r="J113" t="s">
        <v>424</v>
      </c>
      <c r="K113" t="s">
        <v>424</v>
      </c>
      <c r="L113" t="s">
        <v>424</v>
      </c>
      <c r="M113">
        <v>0.25</v>
      </c>
    </row>
    <row r="114" spans="1:14" x14ac:dyDescent="0.3">
      <c r="A114" t="s">
        <v>475</v>
      </c>
      <c r="B114" t="s">
        <v>486</v>
      </c>
      <c r="C114" t="s">
        <v>380</v>
      </c>
      <c r="D114" t="s">
        <v>324</v>
      </c>
      <c r="E114" t="s">
        <v>424</v>
      </c>
      <c r="F114" t="s">
        <v>425</v>
      </c>
      <c r="G114" t="s">
        <v>424</v>
      </c>
      <c r="H114" t="s">
        <v>424</v>
      </c>
      <c r="I114" t="s">
        <v>425</v>
      </c>
      <c r="J114" t="s">
        <v>424</v>
      </c>
      <c r="K114" t="s">
        <v>425</v>
      </c>
      <c r="L114" t="s">
        <v>424</v>
      </c>
      <c r="M114">
        <v>0.25</v>
      </c>
    </row>
    <row r="115" spans="1:14" x14ac:dyDescent="0.3">
      <c r="A115" t="s">
        <v>475</v>
      </c>
      <c r="B115" t="s">
        <v>486</v>
      </c>
      <c r="C115" t="s">
        <v>380</v>
      </c>
      <c r="D115" t="s">
        <v>488</v>
      </c>
      <c r="E115" t="s">
        <v>425</v>
      </c>
      <c r="F115" t="s">
        <v>424</v>
      </c>
      <c r="G115" t="s">
        <v>424</v>
      </c>
      <c r="H115" t="s">
        <v>424</v>
      </c>
      <c r="I115" t="s">
        <v>424</v>
      </c>
      <c r="J115" t="s">
        <v>424</v>
      </c>
      <c r="K115" t="s">
        <v>424</v>
      </c>
      <c r="L115" t="s">
        <v>424</v>
      </c>
      <c r="M115">
        <v>0.25</v>
      </c>
    </row>
    <row r="116" spans="1:14" x14ac:dyDescent="0.3">
      <c r="A116" t="s">
        <v>475</v>
      </c>
      <c r="B116" t="s">
        <v>486</v>
      </c>
      <c r="C116" t="s">
        <v>380</v>
      </c>
      <c r="D116" t="s">
        <v>489</v>
      </c>
      <c r="E116" t="s">
        <v>424</v>
      </c>
      <c r="F116" t="s">
        <v>424</v>
      </c>
      <c r="G116" t="s">
        <v>424</v>
      </c>
      <c r="H116" t="s">
        <v>424</v>
      </c>
      <c r="I116" t="s">
        <v>424</v>
      </c>
      <c r="J116" t="s">
        <v>424</v>
      </c>
      <c r="K116" t="s">
        <v>424</v>
      </c>
      <c r="L116" t="s">
        <v>424</v>
      </c>
      <c r="M116">
        <v>0.25</v>
      </c>
    </row>
    <row r="117" spans="1:14" x14ac:dyDescent="0.3">
      <c r="A117" t="s">
        <v>475</v>
      </c>
      <c r="B117" t="s">
        <v>486</v>
      </c>
      <c r="C117" t="s">
        <v>380</v>
      </c>
      <c r="D117" t="s">
        <v>490</v>
      </c>
      <c r="E117" t="s">
        <v>424</v>
      </c>
      <c r="F117" t="s">
        <v>424</v>
      </c>
      <c r="G117" t="s">
        <v>424</v>
      </c>
      <c r="H117" t="s">
        <v>424</v>
      </c>
      <c r="I117" t="s">
        <v>424</v>
      </c>
      <c r="J117" t="s">
        <v>424</v>
      </c>
      <c r="K117" t="s">
        <v>424</v>
      </c>
      <c r="L117" t="s">
        <v>425</v>
      </c>
      <c r="M117">
        <v>0.25</v>
      </c>
    </row>
    <row r="118" spans="1:14" x14ac:dyDescent="0.3">
      <c r="A118" t="s">
        <v>475</v>
      </c>
      <c r="B118" t="s">
        <v>486</v>
      </c>
      <c r="C118" t="s">
        <v>380</v>
      </c>
      <c r="D118" t="s">
        <v>491</v>
      </c>
      <c r="E118" t="s">
        <v>424</v>
      </c>
      <c r="F118" t="s">
        <v>425</v>
      </c>
      <c r="G118" t="s">
        <v>424</v>
      </c>
      <c r="H118" t="s">
        <v>425</v>
      </c>
      <c r="I118" t="s">
        <v>424</v>
      </c>
      <c r="J118" t="s">
        <v>425</v>
      </c>
      <c r="K118" t="s">
        <v>424</v>
      </c>
      <c r="L118" t="s">
        <v>425</v>
      </c>
      <c r="M118">
        <v>0.25</v>
      </c>
    </row>
    <row r="119" spans="1:14" x14ac:dyDescent="0.3">
      <c r="A119" t="s">
        <v>475</v>
      </c>
      <c r="B119" t="s">
        <v>486</v>
      </c>
      <c r="C119" t="s">
        <v>380</v>
      </c>
      <c r="D119" t="s">
        <v>492</v>
      </c>
      <c r="E119" t="s">
        <v>425</v>
      </c>
      <c r="F119" t="s">
        <v>425</v>
      </c>
      <c r="G119" t="s">
        <v>425</v>
      </c>
      <c r="H119" t="s">
        <v>425</v>
      </c>
      <c r="I119" t="s">
        <v>425</v>
      </c>
      <c r="J119" t="s">
        <v>425</v>
      </c>
      <c r="K119" t="s">
        <v>425</v>
      </c>
      <c r="L119" t="s">
        <v>425</v>
      </c>
      <c r="M119">
        <v>0.25</v>
      </c>
    </row>
    <row r="121" spans="1:14" x14ac:dyDescent="0.3">
      <c r="A121" t="s">
        <v>475</v>
      </c>
      <c r="B121" t="s">
        <v>363</v>
      </c>
      <c r="C121" t="s">
        <v>396</v>
      </c>
      <c r="D121" t="s">
        <v>422</v>
      </c>
      <c r="E121">
        <v>0.5</v>
      </c>
      <c r="F121">
        <v>1</v>
      </c>
      <c r="G121">
        <v>1</v>
      </c>
      <c r="H121">
        <v>1.5</v>
      </c>
      <c r="I121">
        <v>0.75</v>
      </c>
      <c r="J121">
        <v>1</v>
      </c>
      <c r="K121">
        <v>0.25</v>
      </c>
      <c r="L121">
        <v>0.5</v>
      </c>
      <c r="M121">
        <v>2</v>
      </c>
      <c r="N121" t="s">
        <v>382</v>
      </c>
    </row>
    <row r="122" spans="1:14" x14ac:dyDescent="0.3">
      <c r="A122" t="s">
        <v>475</v>
      </c>
      <c r="B122" t="s">
        <v>363</v>
      </c>
      <c r="C122" t="s">
        <v>395</v>
      </c>
      <c r="D122" t="s">
        <v>326</v>
      </c>
      <c r="E122" t="s">
        <v>425</v>
      </c>
      <c r="F122" t="s">
        <v>425</v>
      </c>
      <c r="G122" t="s">
        <v>425</v>
      </c>
      <c r="H122" t="s">
        <v>425</v>
      </c>
      <c r="I122" t="s">
        <v>425</v>
      </c>
      <c r="J122" t="s">
        <v>425</v>
      </c>
      <c r="K122" t="s">
        <v>424</v>
      </c>
      <c r="L122" t="s">
        <v>425</v>
      </c>
      <c r="M122">
        <v>0.25</v>
      </c>
    </row>
    <row r="123" spans="1:14" x14ac:dyDescent="0.3">
      <c r="A123" t="s">
        <v>475</v>
      </c>
      <c r="B123" t="s">
        <v>363</v>
      </c>
      <c r="C123" t="s">
        <v>395</v>
      </c>
      <c r="D123" t="s">
        <v>461</v>
      </c>
      <c r="E123" t="s">
        <v>425</v>
      </c>
      <c r="F123" t="s">
        <v>424</v>
      </c>
      <c r="G123" t="s">
        <v>425</v>
      </c>
      <c r="H123" t="s">
        <v>424</v>
      </c>
      <c r="I123" t="s">
        <v>424</v>
      </c>
      <c r="J123" t="s">
        <v>425</v>
      </c>
      <c r="K123" t="s">
        <v>425</v>
      </c>
      <c r="L123" t="s">
        <v>425</v>
      </c>
      <c r="M123">
        <v>0.25</v>
      </c>
    </row>
    <row r="124" spans="1:14" x14ac:dyDescent="0.3">
      <c r="A124" t="s">
        <v>475</v>
      </c>
      <c r="B124" t="s">
        <v>363</v>
      </c>
      <c r="C124" t="s">
        <v>395</v>
      </c>
      <c r="D124" t="s">
        <v>493</v>
      </c>
      <c r="E124" t="s">
        <v>425</v>
      </c>
      <c r="F124" t="s">
        <v>424</v>
      </c>
      <c r="G124" t="s">
        <v>424</v>
      </c>
      <c r="H124" t="s">
        <v>424</v>
      </c>
      <c r="I124" t="s">
        <v>425</v>
      </c>
      <c r="J124" t="s">
        <v>424</v>
      </c>
      <c r="K124" t="s">
        <v>425</v>
      </c>
      <c r="L124" t="s">
        <v>424</v>
      </c>
      <c r="M124">
        <v>0.25</v>
      </c>
    </row>
    <row r="125" spans="1:14" x14ac:dyDescent="0.3">
      <c r="A125" t="s">
        <v>475</v>
      </c>
      <c r="B125" t="s">
        <v>363</v>
      </c>
      <c r="C125" t="s">
        <v>395</v>
      </c>
      <c r="D125" t="s">
        <v>494</v>
      </c>
      <c r="E125" t="s">
        <v>425</v>
      </c>
      <c r="F125" t="s">
        <v>424</v>
      </c>
      <c r="G125" t="s">
        <v>424</v>
      </c>
      <c r="H125" t="s">
        <v>424</v>
      </c>
      <c r="I125" t="s">
        <v>425</v>
      </c>
      <c r="J125" t="s">
        <v>424</v>
      </c>
      <c r="K125" t="s">
        <v>425</v>
      </c>
      <c r="L125" t="s">
        <v>424</v>
      </c>
      <c r="M125">
        <v>0.25</v>
      </c>
    </row>
    <row r="126" spans="1:14" x14ac:dyDescent="0.3">
      <c r="A126" t="s">
        <v>475</v>
      </c>
      <c r="B126" t="s">
        <v>363</v>
      </c>
      <c r="C126" t="s">
        <v>395</v>
      </c>
      <c r="D126" t="s">
        <v>495</v>
      </c>
      <c r="E126" t="s">
        <v>425</v>
      </c>
      <c r="F126" t="s">
        <v>424</v>
      </c>
      <c r="G126" t="s">
        <v>425</v>
      </c>
      <c r="H126" t="s">
        <v>424</v>
      </c>
      <c r="I126" t="s">
        <v>424</v>
      </c>
      <c r="J126" t="s">
        <v>425</v>
      </c>
      <c r="K126" t="s">
        <v>425</v>
      </c>
      <c r="L126" t="s">
        <v>425</v>
      </c>
      <c r="M126">
        <v>0.25</v>
      </c>
    </row>
    <row r="127" spans="1:14" x14ac:dyDescent="0.3">
      <c r="A127" t="s">
        <v>475</v>
      </c>
      <c r="B127" t="s">
        <v>363</v>
      </c>
      <c r="C127" t="s">
        <v>395</v>
      </c>
      <c r="D127" t="s">
        <v>496</v>
      </c>
      <c r="E127" t="s">
        <v>425</v>
      </c>
      <c r="F127" t="s">
        <v>425</v>
      </c>
      <c r="G127" t="s">
        <v>424</v>
      </c>
      <c r="H127" t="s">
        <v>424</v>
      </c>
      <c r="I127" t="s">
        <v>424</v>
      </c>
      <c r="J127" t="s">
        <v>425</v>
      </c>
      <c r="K127" t="s">
        <v>425</v>
      </c>
      <c r="L127" t="s">
        <v>425</v>
      </c>
      <c r="M127">
        <v>0.25</v>
      </c>
    </row>
    <row r="128" spans="1:14" x14ac:dyDescent="0.3">
      <c r="A128" t="s">
        <v>475</v>
      </c>
      <c r="B128" t="s">
        <v>363</v>
      </c>
      <c r="C128" t="s">
        <v>395</v>
      </c>
      <c r="D128" t="s">
        <v>497</v>
      </c>
      <c r="E128" t="s">
        <v>424</v>
      </c>
      <c r="F128" t="s">
        <v>425</v>
      </c>
      <c r="G128" t="s">
        <v>425</v>
      </c>
      <c r="H128" t="s">
        <v>425</v>
      </c>
      <c r="I128" t="s">
        <v>425</v>
      </c>
      <c r="J128" t="s">
        <v>424</v>
      </c>
      <c r="K128" t="s">
        <v>425</v>
      </c>
      <c r="L128" t="s">
        <v>425</v>
      </c>
      <c r="M128">
        <v>0.25</v>
      </c>
    </row>
    <row r="129" spans="1:14" x14ac:dyDescent="0.3">
      <c r="A129" t="s">
        <v>475</v>
      </c>
      <c r="B129" t="s">
        <v>363</v>
      </c>
      <c r="C129" t="s">
        <v>395</v>
      </c>
      <c r="D129" t="s">
        <v>498</v>
      </c>
      <c r="E129" t="s">
        <v>424</v>
      </c>
      <c r="F129" t="s">
        <v>425</v>
      </c>
      <c r="G129" t="s">
        <v>424</v>
      </c>
      <c r="H129" t="s">
        <v>424</v>
      </c>
      <c r="I129" t="s">
        <v>425</v>
      </c>
      <c r="J129" t="s">
        <v>424</v>
      </c>
      <c r="K129" t="s">
        <v>425</v>
      </c>
      <c r="L129" t="s">
        <v>425</v>
      </c>
      <c r="M129">
        <v>0.25</v>
      </c>
    </row>
    <row r="131" spans="1:14" x14ac:dyDescent="0.3">
      <c r="A131" t="s">
        <v>475</v>
      </c>
      <c r="B131" t="s">
        <v>363</v>
      </c>
      <c r="C131" t="s">
        <v>396</v>
      </c>
      <c r="D131" t="s">
        <v>422</v>
      </c>
      <c r="E131">
        <v>0.75</v>
      </c>
      <c r="F131">
        <v>0.5</v>
      </c>
      <c r="G131">
        <v>0.75</v>
      </c>
      <c r="H131">
        <v>1</v>
      </c>
      <c r="I131">
        <v>0.5</v>
      </c>
      <c r="J131">
        <v>1.25</v>
      </c>
      <c r="K131">
        <v>0.75</v>
      </c>
      <c r="L131">
        <v>0</v>
      </c>
      <c r="M131">
        <v>1.25</v>
      </c>
      <c r="N131" t="s">
        <v>499</v>
      </c>
    </row>
    <row r="132" spans="1:14" x14ac:dyDescent="0.3">
      <c r="A132" t="s">
        <v>475</v>
      </c>
      <c r="B132" t="s">
        <v>363</v>
      </c>
      <c r="C132" t="s">
        <v>396</v>
      </c>
      <c r="D132" t="s">
        <v>500</v>
      </c>
      <c r="E132" t="s">
        <v>425</v>
      </c>
      <c r="F132" t="s">
        <v>424</v>
      </c>
      <c r="G132" t="s">
        <v>424</v>
      </c>
      <c r="H132" t="s">
        <v>424</v>
      </c>
      <c r="I132" t="s">
        <v>424</v>
      </c>
      <c r="J132" t="s">
        <v>424</v>
      </c>
      <c r="K132" t="s">
        <v>424</v>
      </c>
      <c r="L132" t="s">
        <v>425</v>
      </c>
      <c r="M132">
        <v>0.25</v>
      </c>
      <c r="N132" t="s">
        <v>501</v>
      </c>
    </row>
    <row r="133" spans="1:14" x14ac:dyDescent="0.3">
      <c r="A133" t="s">
        <v>475</v>
      </c>
      <c r="B133" t="s">
        <v>363</v>
      </c>
      <c r="C133" t="s">
        <v>396</v>
      </c>
      <c r="D133" t="s">
        <v>502</v>
      </c>
      <c r="E133" t="s">
        <v>425</v>
      </c>
      <c r="F133" t="s">
        <v>425</v>
      </c>
      <c r="G133" t="s">
        <v>425</v>
      </c>
      <c r="H133" t="s">
        <v>424</v>
      </c>
      <c r="I133" t="s">
        <v>425</v>
      </c>
      <c r="J133" t="s">
        <v>424</v>
      </c>
      <c r="K133" t="s">
        <v>425</v>
      </c>
      <c r="L133" t="s">
        <v>425</v>
      </c>
      <c r="M133">
        <v>0.25</v>
      </c>
      <c r="N133" t="s">
        <v>501</v>
      </c>
    </row>
    <row r="134" spans="1:14" x14ac:dyDescent="0.3">
      <c r="A134" t="s">
        <v>475</v>
      </c>
      <c r="B134" t="s">
        <v>363</v>
      </c>
      <c r="C134" t="s">
        <v>396</v>
      </c>
      <c r="D134" t="s">
        <v>503</v>
      </c>
      <c r="E134" t="s">
        <v>425</v>
      </c>
      <c r="F134" t="s">
        <v>425</v>
      </c>
      <c r="G134" t="s">
        <v>425</v>
      </c>
      <c r="H134" t="s">
        <v>425</v>
      </c>
      <c r="I134" t="s">
        <v>424</v>
      </c>
      <c r="J134" t="s">
        <v>425</v>
      </c>
      <c r="K134" t="s">
        <v>425</v>
      </c>
      <c r="L134" t="s">
        <v>424</v>
      </c>
      <c r="M134">
        <v>0</v>
      </c>
      <c r="N134" t="s">
        <v>501</v>
      </c>
    </row>
    <row r="135" spans="1:14" x14ac:dyDescent="0.3">
      <c r="A135" t="s">
        <v>475</v>
      </c>
      <c r="B135" t="s">
        <v>363</v>
      </c>
      <c r="C135" t="s">
        <v>396</v>
      </c>
      <c r="D135" t="s">
        <v>489</v>
      </c>
      <c r="E135" t="s">
        <v>424</v>
      </c>
      <c r="F135" t="s">
        <v>424</v>
      </c>
      <c r="G135" t="s">
        <v>424</v>
      </c>
      <c r="H135" t="s">
        <v>424</v>
      </c>
      <c r="I135" t="s">
        <v>424</v>
      </c>
      <c r="J135" t="s">
        <v>424</v>
      </c>
      <c r="K135" t="s">
        <v>424</v>
      </c>
      <c r="L135" t="s">
        <v>425</v>
      </c>
      <c r="M135">
        <v>0.25</v>
      </c>
      <c r="N135" t="s">
        <v>501</v>
      </c>
    </row>
    <row r="136" spans="1:14" x14ac:dyDescent="0.3">
      <c r="A136" t="s">
        <v>475</v>
      </c>
      <c r="B136" t="s">
        <v>363</v>
      </c>
      <c r="C136" t="s">
        <v>396</v>
      </c>
      <c r="D136" t="s">
        <v>504</v>
      </c>
      <c r="E136" t="s">
        <v>424</v>
      </c>
      <c r="F136" t="s">
        <v>425</v>
      </c>
      <c r="G136" t="s">
        <v>424</v>
      </c>
      <c r="H136" t="s">
        <v>424</v>
      </c>
      <c r="I136" t="s">
        <v>425</v>
      </c>
      <c r="J136" t="s">
        <v>424</v>
      </c>
      <c r="K136" t="s">
        <v>425</v>
      </c>
      <c r="L136" t="s">
        <v>425</v>
      </c>
      <c r="M136">
        <v>0.25</v>
      </c>
      <c r="N136" t="s">
        <v>501</v>
      </c>
    </row>
    <row r="137" spans="1:14" x14ac:dyDescent="0.3">
      <c r="A137" t="s">
        <v>475</v>
      </c>
      <c r="B137" t="s">
        <v>363</v>
      </c>
      <c r="C137" t="s">
        <v>396</v>
      </c>
      <c r="D137" t="s">
        <v>505</v>
      </c>
      <c r="E137" t="s">
        <v>424</v>
      </c>
      <c r="F137" t="s">
        <v>425</v>
      </c>
      <c r="G137" t="s">
        <v>425</v>
      </c>
      <c r="H137" t="s">
        <v>425</v>
      </c>
      <c r="I137" t="s">
        <v>425</v>
      </c>
      <c r="J137" t="s">
        <v>424</v>
      </c>
      <c r="K137" t="s">
        <v>424</v>
      </c>
      <c r="L137" t="s">
        <v>425</v>
      </c>
      <c r="M137">
        <v>0.25</v>
      </c>
      <c r="N137" t="s">
        <v>501</v>
      </c>
    </row>
    <row r="139" spans="1:14" x14ac:dyDescent="0.3">
      <c r="A139" t="s">
        <v>475</v>
      </c>
      <c r="B139" t="s">
        <v>506</v>
      </c>
      <c r="C139" t="s">
        <v>397</v>
      </c>
      <c r="D139" t="s">
        <v>422</v>
      </c>
      <c r="E139">
        <v>1.5</v>
      </c>
      <c r="F139">
        <v>0.5</v>
      </c>
      <c r="G139">
        <v>1.5</v>
      </c>
      <c r="H139">
        <v>1.75</v>
      </c>
      <c r="I139">
        <v>0.5</v>
      </c>
      <c r="J139">
        <v>1.5</v>
      </c>
      <c r="K139">
        <v>1.5</v>
      </c>
      <c r="L139">
        <v>0.75</v>
      </c>
      <c r="M139">
        <v>3.5</v>
      </c>
      <c r="N139" t="s">
        <v>507</v>
      </c>
    </row>
    <row r="140" spans="1:14" x14ac:dyDescent="0.3">
      <c r="A140" t="s">
        <v>475</v>
      </c>
      <c r="B140" t="s">
        <v>506</v>
      </c>
      <c r="C140" t="s">
        <v>397</v>
      </c>
      <c r="D140" t="s">
        <v>508</v>
      </c>
      <c r="E140" t="s">
        <v>425</v>
      </c>
      <c r="F140" t="s">
        <v>425</v>
      </c>
      <c r="G140" t="s">
        <v>425</v>
      </c>
      <c r="H140" t="s">
        <v>425</v>
      </c>
      <c r="I140" t="s">
        <v>425</v>
      </c>
      <c r="J140" t="s">
        <v>425</v>
      </c>
      <c r="K140" t="s">
        <v>425</v>
      </c>
      <c r="L140" t="s">
        <v>425</v>
      </c>
      <c r="M140">
        <v>0.25</v>
      </c>
    </row>
    <row r="141" spans="1:14" x14ac:dyDescent="0.3">
      <c r="A141" t="s">
        <v>475</v>
      </c>
      <c r="B141" t="s">
        <v>506</v>
      </c>
      <c r="C141" t="s">
        <v>397</v>
      </c>
      <c r="D141" t="s">
        <v>509</v>
      </c>
      <c r="E141" t="s">
        <v>424</v>
      </c>
      <c r="F141" t="s">
        <v>425</v>
      </c>
      <c r="G141" t="s">
        <v>424</v>
      </c>
      <c r="H141" t="s">
        <v>424</v>
      </c>
      <c r="I141" t="s">
        <v>425</v>
      </c>
      <c r="J141" t="s">
        <v>424</v>
      </c>
      <c r="K141" t="s">
        <v>424</v>
      </c>
      <c r="L141" t="s">
        <v>424</v>
      </c>
      <c r="M141">
        <v>0.25</v>
      </c>
    </row>
    <row r="142" spans="1:14" x14ac:dyDescent="0.3">
      <c r="A142" t="s">
        <v>475</v>
      </c>
      <c r="B142" t="s">
        <v>506</v>
      </c>
      <c r="C142" t="s">
        <v>397</v>
      </c>
      <c r="D142" t="s">
        <v>510</v>
      </c>
      <c r="E142" t="s">
        <v>424</v>
      </c>
      <c r="F142" t="s">
        <v>425</v>
      </c>
      <c r="G142" t="s">
        <v>425</v>
      </c>
      <c r="H142" t="s">
        <v>425</v>
      </c>
      <c r="I142" t="s">
        <v>425</v>
      </c>
      <c r="J142" t="s">
        <v>425</v>
      </c>
      <c r="K142" t="s">
        <v>425</v>
      </c>
      <c r="L142" t="s">
        <v>425</v>
      </c>
      <c r="M142">
        <v>0.25</v>
      </c>
    </row>
    <row r="143" spans="1:14" x14ac:dyDescent="0.3">
      <c r="A143" t="s">
        <v>475</v>
      </c>
      <c r="B143" t="s">
        <v>506</v>
      </c>
      <c r="C143" t="s">
        <v>397</v>
      </c>
      <c r="D143" t="s">
        <v>511</v>
      </c>
      <c r="E143" t="s">
        <v>425</v>
      </c>
      <c r="F143" t="s">
        <v>425</v>
      </c>
      <c r="G143" t="s">
        <v>425</v>
      </c>
      <c r="H143" t="s">
        <v>425</v>
      </c>
      <c r="I143" t="s">
        <v>425</v>
      </c>
      <c r="J143" t="s">
        <v>425</v>
      </c>
      <c r="K143" t="s">
        <v>425</v>
      </c>
      <c r="L143" t="s">
        <v>425</v>
      </c>
      <c r="M143">
        <v>0.25</v>
      </c>
    </row>
    <row r="144" spans="1:14" x14ac:dyDescent="0.3">
      <c r="A144" t="s">
        <v>475</v>
      </c>
      <c r="B144" t="s">
        <v>506</v>
      </c>
      <c r="C144" t="s">
        <v>397</v>
      </c>
      <c r="D144" t="s">
        <v>512</v>
      </c>
      <c r="E144" t="s">
        <v>424</v>
      </c>
      <c r="F144" t="s">
        <v>425</v>
      </c>
      <c r="G144" t="s">
        <v>425</v>
      </c>
      <c r="H144" t="s">
        <v>424</v>
      </c>
      <c r="I144" t="s">
        <v>425</v>
      </c>
      <c r="J144" t="s">
        <v>425</v>
      </c>
      <c r="K144" t="s">
        <v>425</v>
      </c>
      <c r="L144" t="s">
        <v>425</v>
      </c>
      <c r="M144">
        <v>0.25</v>
      </c>
    </row>
    <row r="145" spans="1:14" x14ac:dyDescent="0.3">
      <c r="A145" t="s">
        <v>475</v>
      </c>
      <c r="B145" t="s">
        <v>506</v>
      </c>
      <c r="C145" t="s">
        <v>397</v>
      </c>
      <c r="D145" t="s">
        <v>513</v>
      </c>
      <c r="E145" t="s">
        <v>425</v>
      </c>
      <c r="F145" t="s">
        <v>425</v>
      </c>
      <c r="G145" t="s">
        <v>425</v>
      </c>
      <c r="H145" t="s">
        <v>424</v>
      </c>
      <c r="I145" t="s">
        <v>425</v>
      </c>
      <c r="J145" t="s">
        <v>424</v>
      </c>
      <c r="K145" t="s">
        <v>424</v>
      </c>
      <c r="L145" t="s">
        <v>425</v>
      </c>
      <c r="M145">
        <v>0.25</v>
      </c>
    </row>
    <row r="146" spans="1:14" x14ac:dyDescent="0.3">
      <c r="A146" t="s">
        <v>475</v>
      </c>
      <c r="B146" t="s">
        <v>506</v>
      </c>
      <c r="C146" t="s">
        <v>397</v>
      </c>
      <c r="D146" t="s">
        <v>412</v>
      </c>
      <c r="E146" t="s">
        <v>424</v>
      </c>
      <c r="F146" t="s">
        <v>424</v>
      </c>
      <c r="G146" t="s">
        <v>424</v>
      </c>
      <c r="H146" t="s">
        <v>424</v>
      </c>
      <c r="I146" t="s">
        <v>424</v>
      </c>
      <c r="J146" t="s">
        <v>424</v>
      </c>
      <c r="K146" t="s">
        <v>425</v>
      </c>
      <c r="L146" t="s">
        <v>424</v>
      </c>
      <c r="M146">
        <v>0.25</v>
      </c>
    </row>
    <row r="147" spans="1:14" x14ac:dyDescent="0.3">
      <c r="A147" t="s">
        <v>475</v>
      </c>
      <c r="B147" t="s">
        <v>506</v>
      </c>
      <c r="C147" t="s">
        <v>397</v>
      </c>
      <c r="D147" t="s">
        <v>514</v>
      </c>
      <c r="E147" t="s">
        <v>425</v>
      </c>
      <c r="F147" t="s">
        <v>425</v>
      </c>
      <c r="G147" t="s">
        <v>425</v>
      </c>
      <c r="H147" t="s">
        <v>425</v>
      </c>
      <c r="I147" t="s">
        <v>425</v>
      </c>
      <c r="J147" t="s">
        <v>425</v>
      </c>
      <c r="K147" t="s">
        <v>425</v>
      </c>
      <c r="L147" t="s">
        <v>425</v>
      </c>
      <c r="M147">
        <v>0.25</v>
      </c>
    </row>
    <row r="148" spans="1:14" x14ac:dyDescent="0.3">
      <c r="A148" t="s">
        <v>475</v>
      </c>
      <c r="B148" t="s">
        <v>506</v>
      </c>
      <c r="C148" t="s">
        <v>397</v>
      </c>
      <c r="D148" t="s">
        <v>515</v>
      </c>
      <c r="E148" t="s">
        <v>425</v>
      </c>
      <c r="F148" t="s">
        <v>425</v>
      </c>
      <c r="G148" t="s">
        <v>424</v>
      </c>
      <c r="H148" t="s">
        <v>424</v>
      </c>
      <c r="I148" t="s">
        <v>425</v>
      </c>
      <c r="J148" t="s">
        <v>424</v>
      </c>
      <c r="K148" t="s">
        <v>425</v>
      </c>
      <c r="L148" t="s">
        <v>425</v>
      </c>
      <c r="M148">
        <v>0.25</v>
      </c>
    </row>
    <row r="149" spans="1:14" x14ac:dyDescent="0.3">
      <c r="A149" t="s">
        <v>475</v>
      </c>
      <c r="B149" t="s">
        <v>506</v>
      </c>
      <c r="C149" t="s">
        <v>397</v>
      </c>
      <c r="D149" t="s">
        <v>516</v>
      </c>
      <c r="E149" t="s">
        <v>425</v>
      </c>
      <c r="F149" t="s">
        <v>425</v>
      </c>
      <c r="G149" t="s">
        <v>424</v>
      </c>
      <c r="H149" t="s">
        <v>425</v>
      </c>
      <c r="I149" t="s">
        <v>425</v>
      </c>
      <c r="J149" t="s">
        <v>425</v>
      </c>
      <c r="K149" t="s">
        <v>424</v>
      </c>
      <c r="L149" t="s">
        <v>425</v>
      </c>
      <c r="M149">
        <v>0.25</v>
      </c>
    </row>
    <row r="150" spans="1:14" x14ac:dyDescent="0.3">
      <c r="A150" t="s">
        <v>475</v>
      </c>
      <c r="B150" t="s">
        <v>506</v>
      </c>
      <c r="C150" t="s">
        <v>397</v>
      </c>
      <c r="D150" t="s">
        <v>517</v>
      </c>
      <c r="E150" t="s">
        <v>424</v>
      </c>
      <c r="F150" t="s">
        <v>425</v>
      </c>
      <c r="G150" t="s">
        <v>424</v>
      </c>
      <c r="H150" t="s">
        <v>424</v>
      </c>
      <c r="I150" t="s">
        <v>425</v>
      </c>
      <c r="J150" t="s">
        <v>424</v>
      </c>
      <c r="K150" t="s">
        <v>424</v>
      </c>
      <c r="L150" t="s">
        <v>425</v>
      </c>
      <c r="M150">
        <v>0.25</v>
      </c>
    </row>
    <row r="151" spans="1:14" x14ac:dyDescent="0.3">
      <c r="A151" t="s">
        <v>475</v>
      </c>
      <c r="B151" t="s">
        <v>506</v>
      </c>
      <c r="C151" t="s">
        <v>397</v>
      </c>
      <c r="D151" t="s">
        <v>518</v>
      </c>
      <c r="E151" t="s">
        <v>425</v>
      </c>
      <c r="F151" t="s">
        <v>425</v>
      </c>
      <c r="G151" t="s">
        <v>425</v>
      </c>
      <c r="H151" t="s">
        <v>425</v>
      </c>
      <c r="I151" t="s">
        <v>425</v>
      </c>
      <c r="J151" t="s">
        <v>425</v>
      </c>
      <c r="K151" t="s">
        <v>424</v>
      </c>
      <c r="L151" t="s">
        <v>425</v>
      </c>
      <c r="M151">
        <v>0.25</v>
      </c>
    </row>
    <row r="152" spans="1:14" x14ac:dyDescent="0.3">
      <c r="A152" t="s">
        <v>475</v>
      </c>
      <c r="B152" t="s">
        <v>506</v>
      </c>
      <c r="C152" t="s">
        <v>397</v>
      </c>
      <c r="D152" t="s">
        <v>519</v>
      </c>
      <c r="E152" t="s">
        <v>425</v>
      </c>
      <c r="F152" t="s">
        <v>425</v>
      </c>
      <c r="G152" t="s">
        <v>425</v>
      </c>
      <c r="H152" t="s">
        <v>425</v>
      </c>
      <c r="I152" t="s">
        <v>425</v>
      </c>
      <c r="J152" t="s">
        <v>425</v>
      </c>
      <c r="K152" t="s">
        <v>425</v>
      </c>
      <c r="L152" t="s">
        <v>425</v>
      </c>
      <c r="M152">
        <v>0.25</v>
      </c>
    </row>
    <row r="153" spans="1:14" x14ac:dyDescent="0.3">
      <c r="A153" t="s">
        <v>475</v>
      </c>
      <c r="B153" t="s">
        <v>506</v>
      </c>
      <c r="C153" t="s">
        <v>397</v>
      </c>
      <c r="D153" t="s">
        <v>520</v>
      </c>
      <c r="E153" t="s">
        <v>424</v>
      </c>
      <c r="F153" t="s">
        <v>424</v>
      </c>
      <c r="G153" t="s">
        <v>424</v>
      </c>
      <c r="H153" t="s">
        <v>424</v>
      </c>
      <c r="I153" t="s">
        <v>424</v>
      </c>
      <c r="J153" t="s">
        <v>424</v>
      </c>
      <c r="K153" t="s">
        <v>424</v>
      </c>
      <c r="L153" t="s">
        <v>424</v>
      </c>
      <c r="M153">
        <v>0.25</v>
      </c>
    </row>
    <row r="154" spans="1:14" ht="15" thickBot="1" x14ac:dyDescent="0.35"/>
    <row r="155" spans="1:14" ht="15" thickBot="1" x14ac:dyDescent="0.35">
      <c r="A155" s="6" t="s">
        <v>475</v>
      </c>
      <c r="B155" s="7"/>
      <c r="C155" s="7"/>
      <c r="D155" s="7" t="s">
        <v>474</v>
      </c>
      <c r="E155" s="7">
        <f t="shared" ref="E155:L155" si="1">E139+E131+E121+E111+E101</f>
        <v>5.5</v>
      </c>
      <c r="F155" s="7">
        <f t="shared" si="1"/>
        <v>4</v>
      </c>
      <c r="G155" s="7">
        <f t="shared" si="1"/>
        <v>6.75</v>
      </c>
      <c r="H155" s="7">
        <f t="shared" si="1"/>
        <v>6.75</v>
      </c>
      <c r="I155" s="7">
        <f t="shared" si="1"/>
        <v>4</v>
      </c>
      <c r="J155" s="7">
        <f t="shared" si="1"/>
        <v>6.25</v>
      </c>
      <c r="K155" s="7">
        <f t="shared" si="1"/>
        <v>5</v>
      </c>
      <c r="L155" s="7">
        <f t="shared" si="1"/>
        <v>3.5</v>
      </c>
      <c r="M155" s="8">
        <f>M139+M131+M121+M111+M101</f>
        <v>10.5</v>
      </c>
    </row>
    <row r="157" spans="1:14" x14ac:dyDescent="0.3">
      <c r="D157" s="4"/>
    </row>
    <row r="158" spans="1:14" x14ac:dyDescent="0.3">
      <c r="A158" t="s">
        <v>521</v>
      </c>
      <c r="C158" t="s">
        <v>392</v>
      </c>
      <c r="E158">
        <v>2</v>
      </c>
      <c r="F158">
        <v>0</v>
      </c>
      <c r="G158">
        <v>3</v>
      </c>
      <c r="H158">
        <v>0</v>
      </c>
      <c r="I158">
        <v>0</v>
      </c>
      <c r="J158">
        <v>0</v>
      </c>
      <c r="K158">
        <v>1</v>
      </c>
      <c r="L158">
        <v>0</v>
      </c>
      <c r="M158">
        <v>4</v>
      </c>
      <c r="N158" t="s">
        <v>383</v>
      </c>
    </row>
    <row r="159" spans="1:14" x14ac:dyDescent="0.3">
      <c r="A159" t="s">
        <v>521</v>
      </c>
      <c r="C159" t="s">
        <v>393</v>
      </c>
      <c r="E159">
        <v>0</v>
      </c>
      <c r="F159" t="s">
        <v>425</v>
      </c>
      <c r="G159">
        <v>0</v>
      </c>
      <c r="H159" t="s">
        <v>425</v>
      </c>
      <c r="I159" t="s">
        <v>425</v>
      </c>
      <c r="J159">
        <v>0</v>
      </c>
      <c r="K159">
        <v>0</v>
      </c>
      <c r="L159" t="s">
        <v>425</v>
      </c>
      <c r="M159">
        <v>1</v>
      </c>
      <c r="N159" t="s">
        <v>384</v>
      </c>
    </row>
    <row r="160" spans="1:14" ht="15" thickBot="1" x14ac:dyDescent="0.35">
      <c r="A160" t="s">
        <v>521</v>
      </c>
      <c r="C160" t="s">
        <v>394</v>
      </c>
      <c r="E160">
        <v>0</v>
      </c>
      <c r="F160" t="s">
        <v>425</v>
      </c>
      <c r="G160">
        <v>1</v>
      </c>
      <c r="H160" t="s">
        <v>425</v>
      </c>
      <c r="I160" t="s">
        <v>425</v>
      </c>
      <c r="J160">
        <v>0</v>
      </c>
      <c r="K160">
        <v>0</v>
      </c>
      <c r="L160" t="s">
        <v>425</v>
      </c>
      <c r="M160">
        <v>1</v>
      </c>
      <c r="N160" t="s">
        <v>385</v>
      </c>
    </row>
    <row r="161" spans="1:14" ht="15" thickBot="1" x14ac:dyDescent="0.35">
      <c r="A161" s="6" t="s">
        <v>521</v>
      </c>
      <c r="B161" s="7"/>
      <c r="C161" s="7"/>
      <c r="D161" s="7" t="s">
        <v>474</v>
      </c>
      <c r="E161" s="7">
        <f>SUM(E158:E160)</f>
        <v>2</v>
      </c>
      <c r="F161" s="7">
        <f t="shared" ref="F161:M161" si="2">SUM(F158:F160)</f>
        <v>0</v>
      </c>
      <c r="G161" s="7">
        <f t="shared" si="2"/>
        <v>4</v>
      </c>
      <c r="H161" s="7">
        <f t="shared" si="2"/>
        <v>0</v>
      </c>
      <c r="I161" s="7">
        <f t="shared" si="2"/>
        <v>0</v>
      </c>
      <c r="J161" s="7">
        <f t="shared" si="2"/>
        <v>0</v>
      </c>
      <c r="K161" s="7">
        <f t="shared" si="2"/>
        <v>1</v>
      </c>
      <c r="L161" s="7">
        <f t="shared" si="2"/>
        <v>0</v>
      </c>
      <c r="M161" s="8">
        <f t="shared" si="2"/>
        <v>6</v>
      </c>
    </row>
    <row r="164" spans="1:14" x14ac:dyDescent="0.3">
      <c r="A164" t="s">
        <v>522</v>
      </c>
      <c r="C164" t="s">
        <v>386</v>
      </c>
      <c r="E164">
        <v>1</v>
      </c>
      <c r="F164">
        <v>1</v>
      </c>
      <c r="G164">
        <v>1</v>
      </c>
      <c r="H164">
        <v>1</v>
      </c>
      <c r="I164">
        <v>1</v>
      </c>
      <c r="J164">
        <v>2</v>
      </c>
      <c r="K164">
        <v>1</v>
      </c>
      <c r="L164">
        <v>0</v>
      </c>
      <c r="M164">
        <v>4</v>
      </c>
      <c r="N164" t="s">
        <v>523</v>
      </c>
    </row>
    <row r="165" spans="1:14" x14ac:dyDescent="0.3">
      <c r="A165" t="s">
        <v>522</v>
      </c>
      <c r="C165" t="s">
        <v>387</v>
      </c>
      <c r="E165">
        <v>0</v>
      </c>
      <c r="F165">
        <v>0</v>
      </c>
      <c r="G165">
        <v>0</v>
      </c>
      <c r="H165">
        <v>0</v>
      </c>
      <c r="I165">
        <v>0</v>
      </c>
      <c r="J165">
        <v>0</v>
      </c>
      <c r="K165">
        <v>0</v>
      </c>
      <c r="L165">
        <v>0</v>
      </c>
      <c r="M165">
        <v>3</v>
      </c>
      <c r="N165" t="s">
        <v>524</v>
      </c>
    </row>
    <row r="166" spans="1:14" ht="15" thickBot="1" x14ac:dyDescent="0.35">
      <c r="A166" t="s">
        <v>522</v>
      </c>
      <c r="C166" t="s">
        <v>391</v>
      </c>
      <c r="E166">
        <v>0</v>
      </c>
      <c r="F166">
        <v>0</v>
      </c>
      <c r="G166">
        <v>0.5</v>
      </c>
      <c r="H166">
        <v>0.5</v>
      </c>
      <c r="I166">
        <v>0</v>
      </c>
      <c r="J166">
        <v>0.5</v>
      </c>
      <c r="K166">
        <v>0.5</v>
      </c>
      <c r="L166">
        <v>0</v>
      </c>
      <c r="M166">
        <v>1</v>
      </c>
      <c r="N166" t="s">
        <v>390</v>
      </c>
    </row>
    <row r="167" spans="1:14" ht="15" thickBot="1" x14ac:dyDescent="0.35">
      <c r="A167" s="6" t="s">
        <v>522</v>
      </c>
      <c r="B167" s="7"/>
      <c r="C167" s="7"/>
      <c r="D167" s="7" t="s">
        <v>474</v>
      </c>
      <c r="E167" s="7">
        <f>SUM(E164:E166)</f>
        <v>1</v>
      </c>
      <c r="F167" s="7">
        <f t="shared" ref="F167:M167" si="3">SUM(F164:F166)</f>
        <v>1</v>
      </c>
      <c r="G167" s="7">
        <f t="shared" si="3"/>
        <v>1.5</v>
      </c>
      <c r="H167" s="7">
        <f t="shared" si="3"/>
        <v>1.5</v>
      </c>
      <c r="I167" s="7">
        <f t="shared" si="3"/>
        <v>1</v>
      </c>
      <c r="J167" s="7">
        <f t="shared" si="3"/>
        <v>2.5</v>
      </c>
      <c r="K167" s="7">
        <f t="shared" si="3"/>
        <v>1.5</v>
      </c>
      <c r="L167" s="7">
        <f t="shared" si="3"/>
        <v>0</v>
      </c>
      <c r="M167" s="8">
        <f t="shared" si="3"/>
        <v>8</v>
      </c>
    </row>
    <row r="168" spans="1:14" ht="15" thickBot="1" x14ac:dyDescent="0.35"/>
    <row r="169" spans="1:14" x14ac:dyDescent="0.3">
      <c r="A169" s="9" t="s">
        <v>401</v>
      </c>
      <c r="B169" s="10"/>
      <c r="C169" s="10"/>
      <c r="D169" s="10"/>
      <c r="E169" s="11" t="s">
        <v>414</v>
      </c>
      <c r="F169" s="11" t="s">
        <v>346</v>
      </c>
      <c r="G169" s="11" t="s">
        <v>118</v>
      </c>
      <c r="H169" s="11" t="s">
        <v>525</v>
      </c>
      <c r="I169" s="11" t="s">
        <v>71</v>
      </c>
      <c r="J169" s="11" t="s">
        <v>248</v>
      </c>
      <c r="K169" s="11" t="s">
        <v>225</v>
      </c>
      <c r="L169" s="11" t="s">
        <v>200</v>
      </c>
      <c r="M169" s="12" t="s">
        <v>400</v>
      </c>
    </row>
    <row r="170" spans="1:14" x14ac:dyDescent="0.3">
      <c r="A170" s="13" t="s">
        <v>388</v>
      </c>
      <c r="B170" t="str">
        <f>B2</f>
        <v>Storage technology</v>
      </c>
      <c r="E170">
        <f t="shared" ref="E170:J170" si="4">E2+E4+E8+E16</f>
        <v>3</v>
      </c>
      <c r="F170">
        <f t="shared" si="4"/>
        <v>2.25</v>
      </c>
      <c r="G170">
        <f t="shared" si="4"/>
        <v>2</v>
      </c>
      <c r="H170">
        <f t="shared" si="4"/>
        <v>2.75</v>
      </c>
      <c r="I170">
        <f t="shared" si="4"/>
        <v>2.75</v>
      </c>
      <c r="J170">
        <f t="shared" si="4"/>
        <v>2.5</v>
      </c>
      <c r="K170">
        <v>0</v>
      </c>
      <c r="L170">
        <f>L2+L4+L8+L16</f>
        <v>2.75</v>
      </c>
      <c r="M170" s="14">
        <f>M2+M4+M8+M16</f>
        <v>4.25</v>
      </c>
    </row>
    <row r="171" spans="1:14" x14ac:dyDescent="0.3">
      <c r="A171" s="13"/>
      <c r="B171" t="s">
        <v>459</v>
      </c>
      <c r="E171">
        <f>E18+E34</f>
        <v>1.75</v>
      </c>
      <c r="F171">
        <f t="shared" ref="F171:M171" si="5">F18+F34</f>
        <v>1.75</v>
      </c>
      <c r="G171">
        <f t="shared" si="5"/>
        <v>0.5</v>
      </c>
      <c r="H171">
        <f t="shared" si="5"/>
        <v>1.75</v>
      </c>
      <c r="I171">
        <f t="shared" si="5"/>
        <v>2</v>
      </c>
      <c r="J171">
        <f t="shared" si="5"/>
        <v>2</v>
      </c>
      <c r="K171">
        <v>0</v>
      </c>
      <c r="L171">
        <f t="shared" si="5"/>
        <v>1</v>
      </c>
      <c r="M171" s="14">
        <f t="shared" si="5"/>
        <v>5</v>
      </c>
    </row>
    <row r="172" spans="1:14" x14ac:dyDescent="0.3">
      <c r="A172" s="13"/>
      <c r="B172" t="s">
        <v>319</v>
      </c>
      <c r="E172">
        <f t="shared" ref="E172:M172" si="6">E42+E49+E56+E62+E71</f>
        <v>2.75</v>
      </c>
      <c r="F172">
        <f t="shared" si="6"/>
        <v>1</v>
      </c>
      <c r="G172">
        <f t="shared" si="6"/>
        <v>1.5</v>
      </c>
      <c r="H172">
        <f t="shared" si="6"/>
        <v>3.25</v>
      </c>
      <c r="I172">
        <f t="shared" si="6"/>
        <v>1.5</v>
      </c>
      <c r="J172">
        <f t="shared" si="6"/>
        <v>0.75</v>
      </c>
      <c r="K172">
        <f t="shared" si="6"/>
        <v>0</v>
      </c>
      <c r="L172">
        <f t="shared" si="6"/>
        <v>1.25</v>
      </c>
      <c r="M172" s="14">
        <f t="shared" si="6"/>
        <v>5.25</v>
      </c>
    </row>
    <row r="173" spans="1:14" x14ac:dyDescent="0.3">
      <c r="A173" s="13"/>
      <c r="B173" t="s">
        <v>562</v>
      </c>
      <c r="E173">
        <f t="shared" ref="E173:M173" si="7">E78+E89+E96</f>
        <v>2.25</v>
      </c>
      <c r="F173">
        <f t="shared" si="7"/>
        <v>1.25</v>
      </c>
      <c r="G173">
        <f t="shared" si="7"/>
        <v>1</v>
      </c>
      <c r="H173">
        <f t="shared" si="7"/>
        <v>2.25</v>
      </c>
      <c r="I173">
        <f t="shared" si="7"/>
        <v>2</v>
      </c>
      <c r="J173">
        <f t="shared" si="7"/>
        <v>2</v>
      </c>
      <c r="K173">
        <f t="shared" si="7"/>
        <v>0</v>
      </c>
      <c r="L173">
        <f t="shared" si="7"/>
        <v>1</v>
      </c>
      <c r="M173" s="14">
        <f t="shared" si="7"/>
        <v>4</v>
      </c>
    </row>
    <row r="174" spans="1:14" x14ac:dyDescent="0.3">
      <c r="A174" s="13"/>
      <c r="M174" s="14"/>
    </row>
    <row r="175" spans="1:14" x14ac:dyDescent="0.3">
      <c r="A175" s="13" t="s">
        <v>363</v>
      </c>
      <c r="B175" t="s">
        <v>476</v>
      </c>
      <c r="E175">
        <f>E101</f>
        <v>1.25</v>
      </c>
      <c r="F175">
        <f t="shared" ref="F175:M175" si="8">F101</f>
        <v>1</v>
      </c>
      <c r="G175">
        <f t="shared" si="8"/>
        <v>1.75</v>
      </c>
      <c r="H175">
        <f t="shared" si="8"/>
        <v>1</v>
      </c>
      <c r="I175">
        <f t="shared" si="8"/>
        <v>1</v>
      </c>
      <c r="J175">
        <f t="shared" si="8"/>
        <v>1.25</v>
      </c>
      <c r="K175">
        <f t="shared" si="8"/>
        <v>1.25</v>
      </c>
      <c r="L175">
        <f t="shared" si="8"/>
        <v>1</v>
      </c>
      <c r="M175" s="14">
        <f t="shared" si="8"/>
        <v>1.75</v>
      </c>
    </row>
    <row r="176" spans="1:14" x14ac:dyDescent="0.3">
      <c r="A176" s="13"/>
      <c r="B176" t="s">
        <v>486</v>
      </c>
      <c r="E176">
        <f>E111</f>
        <v>1.5</v>
      </c>
      <c r="F176">
        <f t="shared" ref="F176:M176" si="9">F111</f>
        <v>1</v>
      </c>
      <c r="G176">
        <f t="shared" si="9"/>
        <v>1.75</v>
      </c>
      <c r="H176">
        <f t="shared" si="9"/>
        <v>1.5</v>
      </c>
      <c r="I176">
        <f t="shared" si="9"/>
        <v>1.25</v>
      </c>
      <c r="J176">
        <f t="shared" si="9"/>
        <v>1.25</v>
      </c>
      <c r="K176">
        <f t="shared" si="9"/>
        <v>1.25</v>
      </c>
      <c r="L176">
        <f t="shared" si="9"/>
        <v>1.25</v>
      </c>
      <c r="M176" s="14">
        <f t="shared" si="9"/>
        <v>2</v>
      </c>
    </row>
    <row r="177" spans="1:13" x14ac:dyDescent="0.3">
      <c r="A177" s="13"/>
      <c r="B177" t="s">
        <v>363</v>
      </c>
      <c r="E177">
        <f>E121+E131</f>
        <v>1.25</v>
      </c>
      <c r="F177">
        <f t="shared" ref="F177:M177" si="10">F121+F131</f>
        <v>1.5</v>
      </c>
      <c r="G177">
        <f t="shared" si="10"/>
        <v>1.75</v>
      </c>
      <c r="H177">
        <f t="shared" si="10"/>
        <v>2.5</v>
      </c>
      <c r="I177">
        <f t="shared" si="10"/>
        <v>1.25</v>
      </c>
      <c r="J177">
        <f t="shared" si="10"/>
        <v>2.25</v>
      </c>
      <c r="K177">
        <f t="shared" si="10"/>
        <v>1</v>
      </c>
      <c r="L177">
        <f t="shared" si="10"/>
        <v>0.5</v>
      </c>
      <c r="M177" s="14">
        <f t="shared" si="10"/>
        <v>3.25</v>
      </c>
    </row>
    <row r="178" spans="1:13" x14ac:dyDescent="0.3">
      <c r="A178" s="13"/>
      <c r="B178" t="s">
        <v>506</v>
      </c>
      <c r="E178">
        <f>E139</f>
        <v>1.5</v>
      </c>
      <c r="F178">
        <f t="shared" ref="F178:M178" si="11">F139</f>
        <v>0.5</v>
      </c>
      <c r="G178">
        <f t="shared" si="11"/>
        <v>1.5</v>
      </c>
      <c r="H178">
        <f t="shared" si="11"/>
        <v>1.75</v>
      </c>
      <c r="I178">
        <f t="shared" si="11"/>
        <v>0.5</v>
      </c>
      <c r="J178">
        <f t="shared" si="11"/>
        <v>1.5</v>
      </c>
      <c r="K178">
        <f t="shared" si="11"/>
        <v>1.5</v>
      </c>
      <c r="L178">
        <f t="shared" si="11"/>
        <v>0.75</v>
      </c>
      <c r="M178" s="14">
        <f t="shared" si="11"/>
        <v>3.5</v>
      </c>
    </row>
    <row r="179" spans="1:13" x14ac:dyDescent="0.3">
      <c r="A179" s="13"/>
      <c r="M179" s="14"/>
    </row>
    <row r="180" spans="1:13" x14ac:dyDescent="0.3">
      <c r="A180" s="13" t="s">
        <v>365</v>
      </c>
      <c r="B180" t="s">
        <v>526</v>
      </c>
      <c r="E180">
        <f>E158</f>
        <v>2</v>
      </c>
      <c r="F180">
        <f t="shared" ref="F180:M180" si="12">F158</f>
        <v>0</v>
      </c>
      <c r="G180">
        <f t="shared" si="12"/>
        <v>3</v>
      </c>
      <c r="H180">
        <f t="shared" si="12"/>
        <v>0</v>
      </c>
      <c r="I180">
        <f t="shared" si="12"/>
        <v>0</v>
      </c>
      <c r="J180">
        <f t="shared" si="12"/>
        <v>0</v>
      </c>
      <c r="K180">
        <f t="shared" si="12"/>
        <v>1</v>
      </c>
      <c r="L180">
        <f t="shared" si="12"/>
        <v>0</v>
      </c>
      <c r="M180" s="14">
        <f t="shared" si="12"/>
        <v>4</v>
      </c>
    </row>
    <row r="181" spans="1:13" x14ac:dyDescent="0.3">
      <c r="A181" s="13"/>
      <c r="B181" t="s">
        <v>527</v>
      </c>
      <c r="E181">
        <f>E159+E160</f>
        <v>0</v>
      </c>
      <c r="F181">
        <v>0</v>
      </c>
      <c r="G181">
        <f t="shared" ref="G181:M181" si="13">G159+G160</f>
        <v>1</v>
      </c>
      <c r="H181">
        <v>0</v>
      </c>
      <c r="I181">
        <v>0</v>
      </c>
      <c r="J181">
        <f t="shared" si="13"/>
        <v>0</v>
      </c>
      <c r="K181">
        <f t="shared" si="13"/>
        <v>0</v>
      </c>
      <c r="L181">
        <v>0</v>
      </c>
      <c r="M181" s="14">
        <f t="shared" si="13"/>
        <v>2</v>
      </c>
    </row>
    <row r="182" spans="1:13" x14ac:dyDescent="0.3">
      <c r="A182" s="13"/>
      <c r="M182" s="14"/>
    </row>
    <row r="183" spans="1:13" x14ac:dyDescent="0.3">
      <c r="A183" s="13" t="s">
        <v>366</v>
      </c>
      <c r="B183" t="s">
        <v>386</v>
      </c>
      <c r="E183">
        <f>E164</f>
        <v>1</v>
      </c>
      <c r="F183">
        <f t="shared" ref="F183:M183" si="14">F164</f>
        <v>1</v>
      </c>
      <c r="G183">
        <f t="shared" si="14"/>
        <v>1</v>
      </c>
      <c r="H183">
        <f t="shared" si="14"/>
        <v>1</v>
      </c>
      <c r="I183">
        <f t="shared" si="14"/>
        <v>1</v>
      </c>
      <c r="J183">
        <f t="shared" si="14"/>
        <v>2</v>
      </c>
      <c r="K183">
        <f t="shared" si="14"/>
        <v>1</v>
      </c>
      <c r="L183">
        <f t="shared" si="14"/>
        <v>0</v>
      </c>
      <c r="M183" s="14">
        <f t="shared" si="14"/>
        <v>4</v>
      </c>
    </row>
    <row r="184" spans="1:13" ht="15" thickBot="1" x14ac:dyDescent="0.35">
      <c r="A184" s="15"/>
      <c r="B184" s="16" t="s">
        <v>387</v>
      </c>
      <c r="C184" s="16"/>
      <c r="D184" s="16"/>
      <c r="E184" s="16">
        <f>E165+E166</f>
        <v>0</v>
      </c>
      <c r="F184" s="16">
        <f t="shared" ref="F184:M184" si="15">F165+F166</f>
        <v>0</v>
      </c>
      <c r="G184" s="16">
        <f t="shared" si="15"/>
        <v>0.5</v>
      </c>
      <c r="H184" s="16">
        <f t="shared" si="15"/>
        <v>0.5</v>
      </c>
      <c r="I184" s="16">
        <f t="shared" si="15"/>
        <v>0</v>
      </c>
      <c r="J184" s="16">
        <f t="shared" si="15"/>
        <v>0.5</v>
      </c>
      <c r="K184" s="16">
        <f t="shared" si="15"/>
        <v>0.5</v>
      </c>
      <c r="L184" s="16">
        <f t="shared" si="15"/>
        <v>0</v>
      </c>
      <c r="M184" s="17">
        <f t="shared" si="15"/>
        <v>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BC56A-D909-4DE4-B0FB-6FAC3A0812E7}">
  <dimension ref="A1:J5"/>
  <sheetViews>
    <sheetView workbookViewId="0">
      <selection activeCell="D18" sqref="D18"/>
    </sheetView>
  </sheetViews>
  <sheetFormatPr defaultRowHeight="14.4" x14ac:dyDescent="0.3"/>
  <cols>
    <col min="1" max="1" width="31.109375" customWidth="1"/>
  </cols>
  <sheetData>
    <row r="1" spans="1:10" x14ac:dyDescent="0.3">
      <c r="A1" s="4" t="s">
        <v>401</v>
      </c>
      <c r="B1" s="3" t="s">
        <v>414</v>
      </c>
      <c r="C1" s="3" t="s">
        <v>346</v>
      </c>
      <c r="D1" s="3" t="s">
        <v>118</v>
      </c>
      <c r="E1" s="3" t="s">
        <v>525</v>
      </c>
      <c r="F1" s="3" t="s">
        <v>71</v>
      </c>
      <c r="G1" s="3" t="s">
        <v>248</v>
      </c>
      <c r="H1" s="3" t="s">
        <v>225</v>
      </c>
      <c r="I1" s="3" t="s">
        <v>200</v>
      </c>
      <c r="J1" s="3" t="s">
        <v>400</v>
      </c>
    </row>
    <row r="2" spans="1:10" x14ac:dyDescent="0.3">
      <c r="A2" t="s">
        <v>388</v>
      </c>
      <c r="B2">
        <f>'SRF-detailed'!E99</f>
        <v>9.75</v>
      </c>
      <c r="C2">
        <f>'SRF-detailed'!F99</f>
        <v>6.25</v>
      </c>
      <c r="D2">
        <f>'SRF-detailed'!G99</f>
        <v>5</v>
      </c>
      <c r="E2">
        <f>'SRF-detailed'!H99</f>
        <v>10</v>
      </c>
      <c r="F2">
        <f>'SRF-detailed'!I99</f>
        <v>8.25</v>
      </c>
      <c r="G2">
        <f>'SRF-detailed'!J99</f>
        <v>7.25</v>
      </c>
      <c r="H2">
        <f>'SRF-detailed'!K99</f>
        <v>0</v>
      </c>
      <c r="I2">
        <f>'SRF-detailed'!L99</f>
        <v>6</v>
      </c>
      <c r="J2">
        <f>'SRF-detailed'!M99</f>
        <v>18.5</v>
      </c>
    </row>
    <row r="3" spans="1:10" x14ac:dyDescent="0.3">
      <c r="A3" t="s">
        <v>389</v>
      </c>
      <c r="B3">
        <f>'SRF-detailed'!E155</f>
        <v>5.5</v>
      </c>
      <c r="C3">
        <f>'SRF-detailed'!F155</f>
        <v>4</v>
      </c>
      <c r="D3">
        <f>'SRF-detailed'!G155</f>
        <v>6.75</v>
      </c>
      <c r="E3">
        <f>'SRF-detailed'!H155</f>
        <v>6.75</v>
      </c>
      <c r="F3">
        <f>'SRF-detailed'!I155</f>
        <v>4</v>
      </c>
      <c r="G3">
        <f>'SRF-detailed'!J155</f>
        <v>6.25</v>
      </c>
      <c r="H3">
        <f>'SRF-detailed'!K155</f>
        <v>5</v>
      </c>
      <c r="I3">
        <f>'SRF-detailed'!L155</f>
        <v>3.5</v>
      </c>
      <c r="J3">
        <f>'SRF-detailed'!M155</f>
        <v>10.5</v>
      </c>
    </row>
    <row r="4" spans="1:10" x14ac:dyDescent="0.3">
      <c r="A4" t="s">
        <v>365</v>
      </c>
      <c r="B4">
        <f>'SRF-detailed'!E161</f>
        <v>2</v>
      </c>
      <c r="C4">
        <f>'SRF-detailed'!F161</f>
        <v>0</v>
      </c>
      <c r="D4">
        <f>'SRF-detailed'!G161</f>
        <v>4</v>
      </c>
      <c r="E4">
        <f>'SRF-detailed'!H161</f>
        <v>0</v>
      </c>
      <c r="F4">
        <f>'SRF-detailed'!I161</f>
        <v>0</v>
      </c>
      <c r="G4">
        <f>'SRF-detailed'!J161</f>
        <v>0</v>
      </c>
      <c r="H4">
        <f>'SRF-detailed'!K161</f>
        <v>1</v>
      </c>
      <c r="I4">
        <f>'SRF-detailed'!L161</f>
        <v>0</v>
      </c>
      <c r="J4">
        <f>'SRF-detailed'!M161</f>
        <v>6</v>
      </c>
    </row>
    <row r="5" spans="1:10" x14ac:dyDescent="0.3">
      <c r="A5" t="s">
        <v>366</v>
      </c>
      <c r="B5">
        <f>'SRF-detailed'!E167</f>
        <v>1</v>
      </c>
      <c r="C5">
        <f>'SRF-detailed'!F167</f>
        <v>1</v>
      </c>
      <c r="D5">
        <f>'SRF-detailed'!G167</f>
        <v>1.5</v>
      </c>
      <c r="E5">
        <f>'SRF-detailed'!H167</f>
        <v>1.5</v>
      </c>
      <c r="F5">
        <f>'SRF-detailed'!I167</f>
        <v>1</v>
      </c>
      <c r="G5">
        <f>'SRF-detailed'!J167</f>
        <v>2.5</v>
      </c>
      <c r="H5">
        <f>'SRF-detailed'!K167</f>
        <v>1.5</v>
      </c>
      <c r="I5">
        <f>'SRF-detailed'!L167</f>
        <v>0</v>
      </c>
      <c r="J5">
        <f>'SRF-detailed'!M167</f>
        <v>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8C13E-55E9-4FE6-92AB-98AF78A79D3A}">
  <dimension ref="A1:L16"/>
  <sheetViews>
    <sheetView workbookViewId="0">
      <selection activeCell="H4" sqref="H4"/>
    </sheetView>
  </sheetViews>
  <sheetFormatPr defaultRowHeight="14.4" x14ac:dyDescent="0.3"/>
  <cols>
    <col min="1" max="1" width="29.33203125" customWidth="1"/>
    <col min="2" max="2" width="38.21875" customWidth="1"/>
  </cols>
  <sheetData>
    <row r="1" spans="1:12" x14ac:dyDescent="0.3">
      <c r="A1" s="3" t="s">
        <v>407</v>
      </c>
      <c r="B1" s="3" t="s">
        <v>408</v>
      </c>
      <c r="C1" s="3" t="s">
        <v>295</v>
      </c>
      <c r="D1" s="3" t="s">
        <v>346</v>
      </c>
      <c r="E1" s="3" t="s">
        <v>118</v>
      </c>
      <c r="F1" s="3" t="s">
        <v>272</v>
      </c>
      <c r="G1" s="3" t="s">
        <v>71</v>
      </c>
      <c r="H1" s="3" t="s">
        <v>248</v>
      </c>
      <c r="I1" s="3" t="s">
        <v>225</v>
      </c>
      <c r="J1" s="3" t="s">
        <v>200</v>
      </c>
      <c r="K1" s="3" t="s">
        <v>533</v>
      </c>
      <c r="L1" s="3" t="s">
        <v>328</v>
      </c>
    </row>
    <row r="2" spans="1:12" x14ac:dyDescent="0.3">
      <c r="A2" t="s">
        <v>402</v>
      </c>
      <c r="B2" t="s">
        <v>354</v>
      </c>
      <c r="C2">
        <v>1</v>
      </c>
      <c r="D2">
        <v>0</v>
      </c>
      <c r="E2">
        <v>0</v>
      </c>
      <c r="F2">
        <v>0</v>
      </c>
      <c r="G2">
        <v>0</v>
      </c>
      <c r="H2">
        <v>1</v>
      </c>
      <c r="I2">
        <v>0</v>
      </c>
      <c r="J2">
        <v>1</v>
      </c>
      <c r="K2">
        <f t="shared" ref="K2:K16" si="0">SUM(C2:J2)</f>
        <v>3</v>
      </c>
      <c r="L2" t="s">
        <v>353</v>
      </c>
    </row>
    <row r="3" spans="1:12" x14ac:dyDescent="0.3">
      <c r="A3" t="s">
        <v>402</v>
      </c>
      <c r="B3" t="s">
        <v>375</v>
      </c>
      <c r="C3">
        <v>1</v>
      </c>
      <c r="D3">
        <v>1</v>
      </c>
      <c r="E3">
        <v>0</v>
      </c>
      <c r="F3">
        <v>1</v>
      </c>
      <c r="G3">
        <v>1</v>
      </c>
      <c r="H3">
        <v>1</v>
      </c>
      <c r="I3">
        <v>0</v>
      </c>
      <c r="J3">
        <v>1</v>
      </c>
      <c r="K3">
        <f t="shared" si="0"/>
        <v>6</v>
      </c>
    </row>
    <row r="4" spans="1:12" x14ac:dyDescent="0.3">
      <c r="A4" t="s">
        <v>402</v>
      </c>
      <c r="B4" t="s">
        <v>329</v>
      </c>
      <c r="C4">
        <v>1</v>
      </c>
      <c r="D4">
        <v>1</v>
      </c>
      <c r="E4">
        <v>0</v>
      </c>
      <c r="F4">
        <v>1</v>
      </c>
      <c r="G4">
        <v>0</v>
      </c>
      <c r="H4">
        <v>1</v>
      </c>
      <c r="I4">
        <v>0</v>
      </c>
      <c r="J4">
        <v>0</v>
      </c>
      <c r="K4">
        <f t="shared" si="0"/>
        <v>4</v>
      </c>
    </row>
    <row r="5" spans="1:12" x14ac:dyDescent="0.3">
      <c r="A5" t="s">
        <v>402</v>
      </c>
      <c r="B5" t="s">
        <v>409</v>
      </c>
      <c r="C5">
        <v>1</v>
      </c>
      <c r="D5">
        <v>0</v>
      </c>
      <c r="E5">
        <v>0</v>
      </c>
      <c r="F5">
        <v>0</v>
      </c>
      <c r="G5">
        <v>0</v>
      </c>
      <c r="H5">
        <v>0</v>
      </c>
      <c r="I5">
        <v>0</v>
      </c>
      <c r="J5">
        <v>0</v>
      </c>
      <c r="K5">
        <f t="shared" si="0"/>
        <v>1</v>
      </c>
    </row>
    <row r="6" spans="1:12" x14ac:dyDescent="0.3">
      <c r="A6" t="s">
        <v>402</v>
      </c>
      <c r="B6" t="s">
        <v>361</v>
      </c>
      <c r="C6">
        <v>0</v>
      </c>
      <c r="D6">
        <v>0</v>
      </c>
      <c r="E6">
        <v>0</v>
      </c>
      <c r="F6">
        <v>0</v>
      </c>
      <c r="G6">
        <v>0</v>
      </c>
      <c r="H6">
        <v>0</v>
      </c>
      <c r="I6">
        <v>0</v>
      </c>
      <c r="J6">
        <v>0</v>
      </c>
      <c r="K6">
        <f t="shared" si="0"/>
        <v>0</v>
      </c>
    </row>
    <row r="7" spans="1:12" x14ac:dyDescent="0.3">
      <c r="A7" t="s">
        <v>563</v>
      </c>
      <c r="B7" t="s">
        <v>405</v>
      </c>
      <c r="C7">
        <v>1</v>
      </c>
      <c r="D7">
        <v>1</v>
      </c>
      <c r="E7">
        <v>1</v>
      </c>
      <c r="F7">
        <v>1</v>
      </c>
      <c r="G7">
        <v>1</v>
      </c>
      <c r="H7">
        <v>1</v>
      </c>
      <c r="I7">
        <v>1</v>
      </c>
      <c r="J7">
        <v>0</v>
      </c>
      <c r="K7">
        <f t="shared" si="0"/>
        <v>7</v>
      </c>
    </row>
    <row r="8" spans="1:12" x14ac:dyDescent="0.3">
      <c r="A8" t="s">
        <v>563</v>
      </c>
      <c r="B8" t="s">
        <v>360</v>
      </c>
      <c r="C8">
        <v>1</v>
      </c>
      <c r="D8">
        <v>0</v>
      </c>
      <c r="E8">
        <v>1</v>
      </c>
      <c r="F8">
        <v>1</v>
      </c>
      <c r="G8">
        <v>1</v>
      </c>
      <c r="H8">
        <v>0</v>
      </c>
      <c r="I8">
        <v>0</v>
      </c>
      <c r="J8">
        <v>0</v>
      </c>
      <c r="K8">
        <f t="shared" si="0"/>
        <v>4</v>
      </c>
    </row>
    <row r="9" spans="1:12" x14ac:dyDescent="0.3">
      <c r="A9" t="s">
        <v>563</v>
      </c>
      <c r="B9" t="s">
        <v>376</v>
      </c>
      <c r="C9">
        <v>1</v>
      </c>
      <c r="D9">
        <v>0</v>
      </c>
      <c r="E9">
        <v>1</v>
      </c>
      <c r="F9">
        <v>1</v>
      </c>
      <c r="G9">
        <v>0</v>
      </c>
      <c r="H9">
        <v>0</v>
      </c>
      <c r="I9">
        <v>0</v>
      </c>
      <c r="J9">
        <v>1</v>
      </c>
      <c r="K9">
        <f t="shared" si="0"/>
        <v>4</v>
      </c>
    </row>
    <row r="10" spans="1:12" x14ac:dyDescent="0.3">
      <c r="A10" t="s">
        <v>563</v>
      </c>
      <c r="B10" t="s">
        <v>323</v>
      </c>
      <c r="C10">
        <v>0</v>
      </c>
      <c r="D10">
        <v>0</v>
      </c>
      <c r="E10">
        <v>1</v>
      </c>
      <c r="F10">
        <v>1</v>
      </c>
      <c r="G10">
        <v>0</v>
      </c>
      <c r="H10">
        <v>0</v>
      </c>
      <c r="I10">
        <v>0</v>
      </c>
      <c r="J10">
        <v>0</v>
      </c>
      <c r="K10">
        <f t="shared" si="0"/>
        <v>2</v>
      </c>
      <c r="L10" s="4"/>
    </row>
    <row r="11" spans="1:12" x14ac:dyDescent="0.3">
      <c r="A11" t="s">
        <v>563</v>
      </c>
      <c r="B11" t="s">
        <v>404</v>
      </c>
      <c r="C11">
        <v>1</v>
      </c>
      <c r="D11">
        <v>0</v>
      </c>
      <c r="E11">
        <v>1</v>
      </c>
      <c r="F11">
        <v>0</v>
      </c>
      <c r="G11">
        <v>0</v>
      </c>
      <c r="H11">
        <v>0</v>
      </c>
      <c r="I11">
        <v>0</v>
      </c>
      <c r="J11">
        <v>0</v>
      </c>
      <c r="K11">
        <f t="shared" si="0"/>
        <v>2</v>
      </c>
    </row>
    <row r="12" spans="1:12" x14ac:dyDescent="0.3">
      <c r="A12" t="s">
        <v>564</v>
      </c>
      <c r="B12" t="s">
        <v>410</v>
      </c>
      <c r="C12">
        <v>0</v>
      </c>
      <c r="D12">
        <v>1</v>
      </c>
      <c r="E12">
        <v>1</v>
      </c>
      <c r="F12">
        <v>0</v>
      </c>
      <c r="G12">
        <v>1</v>
      </c>
      <c r="H12">
        <v>1</v>
      </c>
      <c r="I12">
        <v>0</v>
      </c>
      <c r="J12">
        <v>0</v>
      </c>
      <c r="K12">
        <f t="shared" si="0"/>
        <v>4</v>
      </c>
    </row>
    <row r="13" spans="1:12" x14ac:dyDescent="0.3">
      <c r="A13" t="s">
        <v>564</v>
      </c>
      <c r="B13" t="s">
        <v>357</v>
      </c>
      <c r="C13">
        <v>1</v>
      </c>
      <c r="D13">
        <v>0</v>
      </c>
      <c r="E13">
        <v>1</v>
      </c>
      <c r="F13">
        <v>1</v>
      </c>
      <c r="G13">
        <v>0</v>
      </c>
      <c r="H13">
        <v>0</v>
      </c>
      <c r="I13">
        <v>0</v>
      </c>
      <c r="J13">
        <v>0</v>
      </c>
      <c r="K13">
        <f t="shared" si="0"/>
        <v>3</v>
      </c>
      <c r="L13" t="s">
        <v>358</v>
      </c>
    </row>
    <row r="14" spans="1:12" x14ac:dyDescent="0.3">
      <c r="A14" t="s">
        <v>564</v>
      </c>
      <c r="B14" t="s">
        <v>362</v>
      </c>
      <c r="C14">
        <v>1</v>
      </c>
      <c r="D14">
        <v>0</v>
      </c>
      <c r="E14">
        <v>1</v>
      </c>
      <c r="F14">
        <v>1</v>
      </c>
      <c r="G14">
        <v>0</v>
      </c>
      <c r="H14">
        <v>0</v>
      </c>
      <c r="I14">
        <v>0</v>
      </c>
      <c r="J14">
        <v>0</v>
      </c>
      <c r="K14">
        <f t="shared" si="0"/>
        <v>3</v>
      </c>
    </row>
    <row r="15" spans="1:12" x14ac:dyDescent="0.3">
      <c r="A15" t="s">
        <v>564</v>
      </c>
      <c r="B15" t="s">
        <v>532</v>
      </c>
      <c r="C15">
        <v>0</v>
      </c>
      <c r="D15">
        <v>1</v>
      </c>
      <c r="E15">
        <v>0</v>
      </c>
      <c r="F15">
        <v>1</v>
      </c>
      <c r="G15">
        <v>1</v>
      </c>
      <c r="H15">
        <v>1</v>
      </c>
      <c r="I15">
        <v>0</v>
      </c>
      <c r="J15">
        <v>0</v>
      </c>
      <c r="K15">
        <f t="shared" si="0"/>
        <v>4</v>
      </c>
    </row>
    <row r="16" spans="1:12" x14ac:dyDescent="0.3">
      <c r="A16" t="s">
        <v>564</v>
      </c>
      <c r="B16" t="s">
        <v>411</v>
      </c>
      <c r="C16">
        <v>0</v>
      </c>
      <c r="D16">
        <v>0</v>
      </c>
      <c r="E16">
        <v>0</v>
      </c>
      <c r="F16">
        <v>0</v>
      </c>
      <c r="G16">
        <v>0</v>
      </c>
      <c r="H16">
        <v>0</v>
      </c>
      <c r="I16">
        <v>0</v>
      </c>
      <c r="J16">
        <v>0</v>
      </c>
      <c r="K16">
        <f t="shared" si="0"/>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FB150-3EC2-4B99-911D-F127EEC34664}">
  <dimension ref="A1:K17"/>
  <sheetViews>
    <sheetView topLeftCell="A6" workbookViewId="0">
      <selection activeCell="E2" sqref="E2"/>
    </sheetView>
  </sheetViews>
  <sheetFormatPr defaultRowHeight="14.4" x14ac:dyDescent="0.3"/>
  <cols>
    <col min="1" max="1" width="24.33203125" customWidth="1"/>
    <col min="2" max="2" width="26" customWidth="1"/>
  </cols>
  <sheetData>
    <row r="1" spans="1:11" x14ac:dyDescent="0.3">
      <c r="A1" s="4" t="s">
        <v>528</v>
      </c>
      <c r="B1" s="4" t="s">
        <v>529</v>
      </c>
      <c r="C1" s="4" t="s">
        <v>414</v>
      </c>
      <c r="D1" s="4" t="s">
        <v>346</v>
      </c>
      <c r="E1" s="4" t="s">
        <v>118</v>
      </c>
      <c r="F1" s="4" t="s">
        <v>525</v>
      </c>
      <c r="G1" s="4" t="s">
        <v>71</v>
      </c>
      <c r="H1" s="4" t="s">
        <v>248</v>
      </c>
      <c r="I1" s="4" t="s">
        <v>225</v>
      </c>
      <c r="J1" s="4" t="s">
        <v>200</v>
      </c>
      <c r="K1" s="4" t="s">
        <v>400</v>
      </c>
    </row>
    <row r="2" spans="1:11" ht="28.8" x14ac:dyDescent="0.3">
      <c r="A2" s="18" t="s">
        <v>534</v>
      </c>
      <c r="B2" t="s">
        <v>420</v>
      </c>
      <c r="C2">
        <f>'SRF-detailed'!E170</f>
        <v>3</v>
      </c>
      <c r="D2">
        <f>'SRF-detailed'!F170</f>
        <v>2.25</v>
      </c>
      <c r="E2">
        <f>'SRF-detailed'!G170</f>
        <v>2</v>
      </c>
      <c r="F2">
        <f>'SRF-detailed'!H170</f>
        <v>2.75</v>
      </c>
      <c r="G2">
        <f>'SRF-detailed'!I170</f>
        <v>2.75</v>
      </c>
      <c r="H2">
        <f>'SRF-detailed'!J170</f>
        <v>2.5</v>
      </c>
      <c r="I2">
        <f>'SRF-detailed'!K170</f>
        <v>0</v>
      </c>
      <c r="J2">
        <f>'SRF-detailed'!L170</f>
        <v>2.75</v>
      </c>
      <c r="K2">
        <f>'SRF-detailed'!M170</f>
        <v>4.25</v>
      </c>
    </row>
    <row r="3" spans="1:11" ht="28.8" x14ac:dyDescent="0.3">
      <c r="A3" s="18" t="s">
        <v>534</v>
      </c>
      <c r="B3" t="s">
        <v>459</v>
      </c>
      <c r="C3">
        <f>'SRF-detailed'!E171</f>
        <v>1.75</v>
      </c>
      <c r="D3">
        <f>'SRF-detailed'!F171</f>
        <v>1.75</v>
      </c>
      <c r="E3">
        <f>'SRF-detailed'!G171</f>
        <v>0.5</v>
      </c>
      <c r="F3">
        <f>'SRF-detailed'!H171</f>
        <v>1.75</v>
      </c>
      <c r="G3">
        <f>'SRF-detailed'!I171</f>
        <v>2</v>
      </c>
      <c r="H3">
        <f>'SRF-detailed'!J171</f>
        <v>2</v>
      </c>
      <c r="I3">
        <f>'SRF-detailed'!K171</f>
        <v>0</v>
      </c>
      <c r="J3">
        <f>'SRF-detailed'!L171</f>
        <v>1</v>
      </c>
      <c r="K3">
        <f>'SRF-detailed'!M171</f>
        <v>5</v>
      </c>
    </row>
    <row r="4" spans="1:11" ht="28.8" x14ac:dyDescent="0.3">
      <c r="A4" s="18" t="s">
        <v>534</v>
      </c>
      <c r="B4" t="s">
        <v>319</v>
      </c>
      <c r="C4">
        <f>'SRF-detailed'!E172</f>
        <v>2.75</v>
      </c>
      <c r="D4">
        <f>'SRF-detailed'!F172</f>
        <v>1</v>
      </c>
      <c r="E4">
        <f>'SRF-detailed'!G172</f>
        <v>1.5</v>
      </c>
      <c r="F4">
        <f>'SRF-detailed'!H172</f>
        <v>3.25</v>
      </c>
      <c r="G4">
        <f>'SRF-detailed'!I172</f>
        <v>1.5</v>
      </c>
      <c r="H4">
        <f>'SRF-detailed'!J172</f>
        <v>0.75</v>
      </c>
      <c r="I4">
        <f>'SRF-detailed'!K172</f>
        <v>0</v>
      </c>
      <c r="J4">
        <f>'SRF-detailed'!L172</f>
        <v>1.25</v>
      </c>
      <c r="K4">
        <f>'SRF-detailed'!M172</f>
        <v>5.25</v>
      </c>
    </row>
    <row r="5" spans="1:11" ht="28.8" x14ac:dyDescent="0.3">
      <c r="A5" s="18" t="s">
        <v>534</v>
      </c>
      <c r="B5" t="s">
        <v>562</v>
      </c>
      <c r="C5">
        <f>'SRF-detailed'!E173</f>
        <v>2.25</v>
      </c>
      <c r="D5">
        <f>'SRF-detailed'!F173</f>
        <v>1.25</v>
      </c>
      <c r="E5">
        <f>'SRF-detailed'!G173</f>
        <v>1</v>
      </c>
      <c r="F5">
        <f>'SRF-detailed'!H173</f>
        <v>2.25</v>
      </c>
      <c r="G5">
        <f>'SRF-detailed'!I173</f>
        <v>2</v>
      </c>
      <c r="H5">
        <f>'SRF-detailed'!J173</f>
        <v>2</v>
      </c>
      <c r="I5">
        <f>'SRF-detailed'!K173</f>
        <v>0</v>
      </c>
      <c r="J5">
        <f>'SRF-detailed'!L173</f>
        <v>1</v>
      </c>
      <c r="K5">
        <f>'SRF-detailed'!M173</f>
        <v>4</v>
      </c>
    </row>
    <row r="6" spans="1:11" ht="28.8" x14ac:dyDescent="0.3">
      <c r="A6" s="18" t="s">
        <v>534</v>
      </c>
      <c r="B6" t="s">
        <v>530</v>
      </c>
      <c r="C6">
        <f>SUM(C2:C5)</f>
        <v>9.75</v>
      </c>
      <c r="D6">
        <f t="shared" ref="D6:K6" si="0">SUM(D2:D5)</f>
        <v>6.25</v>
      </c>
      <c r="E6">
        <f t="shared" si="0"/>
        <v>5</v>
      </c>
      <c r="F6">
        <f t="shared" si="0"/>
        <v>10</v>
      </c>
      <c r="G6">
        <f t="shared" si="0"/>
        <v>8.25</v>
      </c>
      <c r="H6">
        <f t="shared" si="0"/>
        <v>7.25</v>
      </c>
      <c r="I6">
        <f t="shared" si="0"/>
        <v>0</v>
      </c>
      <c r="J6">
        <f t="shared" si="0"/>
        <v>6</v>
      </c>
      <c r="K6">
        <f t="shared" si="0"/>
        <v>18.5</v>
      </c>
    </row>
    <row r="7" spans="1:11" ht="28.8" x14ac:dyDescent="0.3">
      <c r="A7" s="18" t="s">
        <v>535</v>
      </c>
      <c r="B7" t="s">
        <v>476</v>
      </c>
      <c r="C7">
        <f>'SRF-detailed'!E175</f>
        <v>1.25</v>
      </c>
      <c r="D7">
        <f>'SRF-detailed'!F175</f>
        <v>1</v>
      </c>
      <c r="E7">
        <f>'SRF-detailed'!G175</f>
        <v>1.75</v>
      </c>
      <c r="F7">
        <f>'SRF-detailed'!H175</f>
        <v>1</v>
      </c>
      <c r="G7">
        <f>'SRF-detailed'!I175</f>
        <v>1</v>
      </c>
      <c r="H7">
        <f>'SRF-detailed'!J175</f>
        <v>1.25</v>
      </c>
      <c r="I7">
        <f>'SRF-detailed'!K175</f>
        <v>1.25</v>
      </c>
      <c r="J7">
        <f>'SRF-detailed'!L175</f>
        <v>1</v>
      </c>
      <c r="K7">
        <f>'SRF-detailed'!M175</f>
        <v>1.75</v>
      </c>
    </row>
    <row r="8" spans="1:11" ht="28.8" x14ac:dyDescent="0.3">
      <c r="A8" s="18" t="s">
        <v>535</v>
      </c>
      <c r="B8" t="s">
        <v>486</v>
      </c>
      <c r="C8">
        <f>'SRF-detailed'!E176</f>
        <v>1.5</v>
      </c>
      <c r="D8">
        <f>'SRF-detailed'!F176</f>
        <v>1</v>
      </c>
      <c r="E8">
        <f>'SRF-detailed'!G176</f>
        <v>1.75</v>
      </c>
      <c r="F8">
        <f>'SRF-detailed'!H176</f>
        <v>1.5</v>
      </c>
      <c r="G8">
        <f>'SRF-detailed'!I176</f>
        <v>1.25</v>
      </c>
      <c r="H8">
        <f>'SRF-detailed'!J176</f>
        <v>1.25</v>
      </c>
      <c r="I8">
        <f>'SRF-detailed'!K176</f>
        <v>1.25</v>
      </c>
      <c r="J8">
        <f>'SRF-detailed'!L176</f>
        <v>1.25</v>
      </c>
      <c r="K8">
        <f>'SRF-detailed'!M176</f>
        <v>2</v>
      </c>
    </row>
    <row r="9" spans="1:11" ht="28.8" x14ac:dyDescent="0.3">
      <c r="A9" s="18" t="s">
        <v>535</v>
      </c>
      <c r="B9" t="s">
        <v>363</v>
      </c>
      <c r="C9">
        <f>'SRF-detailed'!E177</f>
        <v>1.25</v>
      </c>
      <c r="D9">
        <f>'SRF-detailed'!F177</f>
        <v>1.5</v>
      </c>
      <c r="E9">
        <f>'SRF-detailed'!G177</f>
        <v>1.75</v>
      </c>
      <c r="F9">
        <f>'SRF-detailed'!H177</f>
        <v>2.5</v>
      </c>
      <c r="G9">
        <f>'SRF-detailed'!I177</f>
        <v>1.25</v>
      </c>
      <c r="H9">
        <f>'SRF-detailed'!J177</f>
        <v>2.25</v>
      </c>
      <c r="I9">
        <f>'SRF-detailed'!K177</f>
        <v>1</v>
      </c>
      <c r="J9">
        <f>'SRF-detailed'!L177</f>
        <v>0.5</v>
      </c>
      <c r="K9">
        <f>'SRF-detailed'!M177</f>
        <v>3.25</v>
      </c>
    </row>
    <row r="10" spans="1:11" ht="28.8" x14ac:dyDescent="0.3">
      <c r="A10" s="18" t="s">
        <v>535</v>
      </c>
      <c r="B10" t="s">
        <v>506</v>
      </c>
      <c r="C10">
        <f>'SRF-detailed'!E178</f>
        <v>1.5</v>
      </c>
      <c r="D10">
        <f>'SRF-detailed'!F178</f>
        <v>0.5</v>
      </c>
      <c r="E10">
        <f>'SRF-detailed'!G178</f>
        <v>1.5</v>
      </c>
      <c r="F10">
        <f>'SRF-detailed'!H178</f>
        <v>1.75</v>
      </c>
      <c r="G10">
        <f>'SRF-detailed'!I178</f>
        <v>0.5</v>
      </c>
      <c r="H10">
        <f>'SRF-detailed'!J178</f>
        <v>1.5</v>
      </c>
      <c r="I10">
        <f>'SRF-detailed'!K178</f>
        <v>1.5</v>
      </c>
      <c r="J10">
        <f>'SRF-detailed'!L178</f>
        <v>0.75</v>
      </c>
      <c r="K10">
        <f>'SRF-detailed'!M178</f>
        <v>3.5</v>
      </c>
    </row>
    <row r="11" spans="1:11" ht="28.8" x14ac:dyDescent="0.3">
      <c r="A11" s="18" t="s">
        <v>535</v>
      </c>
      <c r="B11" t="s">
        <v>530</v>
      </c>
      <c r="C11">
        <f>SUM(C7:C10)</f>
        <v>5.5</v>
      </c>
      <c r="D11">
        <f t="shared" ref="D11:K11" si="1">SUM(D7:D10)</f>
        <v>4</v>
      </c>
      <c r="E11">
        <f t="shared" si="1"/>
        <v>6.75</v>
      </c>
      <c r="F11">
        <f t="shared" si="1"/>
        <v>6.75</v>
      </c>
      <c r="G11">
        <f t="shared" si="1"/>
        <v>4</v>
      </c>
      <c r="H11">
        <f t="shared" si="1"/>
        <v>6.25</v>
      </c>
      <c r="I11">
        <f t="shared" si="1"/>
        <v>5</v>
      </c>
      <c r="J11">
        <f t="shared" si="1"/>
        <v>3.5</v>
      </c>
      <c r="K11">
        <f t="shared" si="1"/>
        <v>10.5</v>
      </c>
    </row>
    <row r="12" spans="1:11" ht="28.8" x14ac:dyDescent="0.3">
      <c r="A12" s="18" t="s">
        <v>536</v>
      </c>
      <c r="B12" t="s">
        <v>526</v>
      </c>
      <c r="C12">
        <f>'SRF-detailed'!E180</f>
        <v>2</v>
      </c>
      <c r="D12">
        <f>'SRF-detailed'!F180</f>
        <v>0</v>
      </c>
      <c r="E12">
        <f>'SRF-detailed'!G180</f>
        <v>3</v>
      </c>
      <c r="F12">
        <f>'SRF-detailed'!H180</f>
        <v>0</v>
      </c>
      <c r="G12">
        <f>'SRF-detailed'!I180</f>
        <v>0</v>
      </c>
      <c r="H12">
        <f>'SRF-detailed'!J180</f>
        <v>0</v>
      </c>
      <c r="I12">
        <f>'SRF-detailed'!K180</f>
        <v>1</v>
      </c>
      <c r="J12">
        <f>'SRF-detailed'!L180</f>
        <v>0</v>
      </c>
      <c r="K12">
        <f>'SRF-detailed'!M180</f>
        <v>4</v>
      </c>
    </row>
    <row r="13" spans="1:11" ht="28.8" x14ac:dyDescent="0.3">
      <c r="A13" s="18" t="s">
        <v>536</v>
      </c>
      <c r="B13" t="s">
        <v>527</v>
      </c>
      <c r="C13">
        <f>'SRF-detailed'!E181</f>
        <v>0</v>
      </c>
      <c r="D13">
        <f>'SRF-detailed'!F181</f>
        <v>0</v>
      </c>
      <c r="E13">
        <f>'SRF-detailed'!G181</f>
        <v>1</v>
      </c>
      <c r="F13">
        <f>'SRF-detailed'!H181</f>
        <v>0</v>
      </c>
      <c r="G13">
        <f>'SRF-detailed'!I181</f>
        <v>0</v>
      </c>
      <c r="H13">
        <f>'SRF-detailed'!J181</f>
        <v>0</v>
      </c>
      <c r="I13">
        <f>'SRF-detailed'!K181</f>
        <v>0</v>
      </c>
      <c r="J13">
        <f>'SRF-detailed'!L181</f>
        <v>0</v>
      </c>
      <c r="K13">
        <f>'SRF-detailed'!M181</f>
        <v>2</v>
      </c>
    </row>
    <row r="14" spans="1:11" ht="28.8" x14ac:dyDescent="0.3">
      <c r="A14" s="18" t="s">
        <v>536</v>
      </c>
      <c r="B14" t="s">
        <v>530</v>
      </c>
      <c r="C14">
        <f>SUM(C12:C13)</f>
        <v>2</v>
      </c>
      <c r="D14">
        <f t="shared" ref="D14:K14" si="2">SUM(D12:D13)</f>
        <v>0</v>
      </c>
      <c r="E14">
        <f t="shared" si="2"/>
        <v>4</v>
      </c>
      <c r="F14">
        <f t="shared" si="2"/>
        <v>0</v>
      </c>
      <c r="G14">
        <f t="shared" si="2"/>
        <v>0</v>
      </c>
      <c r="H14">
        <f t="shared" si="2"/>
        <v>0</v>
      </c>
      <c r="I14">
        <f t="shared" si="2"/>
        <v>1</v>
      </c>
      <c r="J14">
        <f t="shared" si="2"/>
        <v>0</v>
      </c>
      <c r="K14">
        <f t="shared" si="2"/>
        <v>6</v>
      </c>
    </row>
    <row r="15" spans="1:11" ht="28.8" x14ac:dyDescent="0.3">
      <c r="A15" s="18" t="s">
        <v>537</v>
      </c>
      <c r="B15" t="s">
        <v>386</v>
      </c>
      <c r="C15">
        <f>'SRF-detailed'!E183</f>
        <v>1</v>
      </c>
      <c r="D15">
        <f>'SRF-detailed'!F183</f>
        <v>1</v>
      </c>
      <c r="E15">
        <f>'SRF-detailed'!G183</f>
        <v>1</v>
      </c>
      <c r="F15">
        <f>'SRF-detailed'!H183</f>
        <v>1</v>
      </c>
      <c r="G15">
        <f>'SRF-detailed'!I183</f>
        <v>1</v>
      </c>
      <c r="H15">
        <f>'SRF-detailed'!J183</f>
        <v>2</v>
      </c>
      <c r="I15">
        <f>'SRF-detailed'!K183</f>
        <v>1</v>
      </c>
      <c r="J15">
        <f>'SRF-detailed'!L183</f>
        <v>0</v>
      </c>
      <c r="K15">
        <f>'SRF-detailed'!M183</f>
        <v>4</v>
      </c>
    </row>
    <row r="16" spans="1:11" ht="28.8" x14ac:dyDescent="0.3">
      <c r="A16" s="18" t="s">
        <v>537</v>
      </c>
      <c r="B16" t="s">
        <v>387</v>
      </c>
      <c r="C16">
        <f>'SRF-detailed'!E184</f>
        <v>0</v>
      </c>
      <c r="D16">
        <f>'SRF-detailed'!F184</f>
        <v>0</v>
      </c>
      <c r="E16">
        <f>'SRF-detailed'!G184</f>
        <v>0.5</v>
      </c>
      <c r="F16">
        <f>'SRF-detailed'!H184</f>
        <v>0.5</v>
      </c>
      <c r="G16">
        <f>'SRF-detailed'!I184</f>
        <v>0</v>
      </c>
      <c r="H16">
        <f>'SRF-detailed'!J184</f>
        <v>0.5</v>
      </c>
      <c r="I16">
        <f>'SRF-detailed'!K184</f>
        <v>0.5</v>
      </c>
      <c r="J16">
        <f>'SRF-detailed'!L184</f>
        <v>0</v>
      </c>
      <c r="K16">
        <f>'SRF-detailed'!M184</f>
        <v>4</v>
      </c>
    </row>
    <row r="17" spans="1:11" ht="28.8" x14ac:dyDescent="0.3">
      <c r="A17" s="18" t="s">
        <v>537</v>
      </c>
      <c r="B17" t="s">
        <v>530</v>
      </c>
      <c r="C17">
        <f>SUM(C15:C16)</f>
        <v>1</v>
      </c>
      <c r="D17">
        <f t="shared" ref="D17:K17" si="3">SUM(D15:D16)</f>
        <v>1</v>
      </c>
      <c r="E17">
        <f t="shared" si="3"/>
        <v>1.5</v>
      </c>
      <c r="F17">
        <f t="shared" si="3"/>
        <v>1.5</v>
      </c>
      <c r="G17">
        <f t="shared" si="3"/>
        <v>1</v>
      </c>
      <c r="H17">
        <f t="shared" si="3"/>
        <v>2.5</v>
      </c>
      <c r="I17">
        <f t="shared" si="3"/>
        <v>1.5</v>
      </c>
      <c r="J17">
        <f t="shared" si="3"/>
        <v>0</v>
      </c>
      <c r="K17">
        <f t="shared" si="3"/>
        <v>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5FC3A-1E5C-4641-9305-FB4B48C3AE8C}">
  <dimension ref="A1:C16"/>
  <sheetViews>
    <sheetView workbookViewId="0">
      <selection activeCell="B18" sqref="B18"/>
    </sheetView>
  </sheetViews>
  <sheetFormatPr defaultRowHeight="14.4" x14ac:dyDescent="0.3"/>
  <cols>
    <col min="1" max="1" width="17.44140625" customWidth="1"/>
    <col min="2" max="2" width="43.6640625" customWidth="1"/>
  </cols>
  <sheetData>
    <row r="1" spans="1:3" x14ac:dyDescent="0.3">
      <c r="A1" s="3" t="s">
        <v>407</v>
      </c>
      <c r="B1" s="4" t="s">
        <v>408</v>
      </c>
      <c r="C1" s="3" t="s">
        <v>531</v>
      </c>
    </row>
    <row r="2" spans="1:3" x14ac:dyDescent="0.3">
      <c r="A2" t="s">
        <v>402</v>
      </c>
      <c r="B2" t="s">
        <v>354</v>
      </c>
      <c r="C2">
        <v>3</v>
      </c>
    </row>
    <row r="3" spans="1:3" x14ac:dyDescent="0.3">
      <c r="A3" t="s">
        <v>402</v>
      </c>
      <c r="B3" t="s">
        <v>375</v>
      </c>
      <c r="C3">
        <v>5</v>
      </c>
    </row>
    <row r="4" spans="1:3" x14ac:dyDescent="0.3">
      <c r="A4" t="s">
        <v>402</v>
      </c>
      <c r="B4" t="s">
        <v>329</v>
      </c>
      <c r="C4">
        <v>4</v>
      </c>
    </row>
    <row r="5" spans="1:3" x14ac:dyDescent="0.3">
      <c r="A5" t="s">
        <v>402</v>
      </c>
      <c r="B5" t="s">
        <v>409</v>
      </c>
      <c r="C5">
        <v>1</v>
      </c>
    </row>
    <row r="6" spans="1:3" x14ac:dyDescent="0.3">
      <c r="A6" t="s">
        <v>402</v>
      </c>
      <c r="B6" t="s">
        <v>361</v>
      </c>
      <c r="C6">
        <v>0</v>
      </c>
    </row>
    <row r="7" spans="1:3" x14ac:dyDescent="0.3">
      <c r="A7" t="s">
        <v>403</v>
      </c>
      <c r="B7" t="s">
        <v>405</v>
      </c>
      <c r="C7">
        <v>7</v>
      </c>
    </row>
    <row r="8" spans="1:3" x14ac:dyDescent="0.3">
      <c r="A8" t="s">
        <v>403</v>
      </c>
      <c r="B8" t="s">
        <v>360</v>
      </c>
      <c r="C8">
        <v>4</v>
      </c>
    </row>
    <row r="9" spans="1:3" x14ac:dyDescent="0.3">
      <c r="A9" t="s">
        <v>403</v>
      </c>
      <c r="B9" t="s">
        <v>376</v>
      </c>
      <c r="C9">
        <v>4</v>
      </c>
    </row>
    <row r="10" spans="1:3" x14ac:dyDescent="0.3">
      <c r="A10" t="s">
        <v>403</v>
      </c>
      <c r="B10" t="s">
        <v>323</v>
      </c>
      <c r="C10">
        <v>2</v>
      </c>
    </row>
    <row r="11" spans="1:3" x14ac:dyDescent="0.3">
      <c r="A11" t="s">
        <v>403</v>
      </c>
      <c r="B11" t="s">
        <v>404</v>
      </c>
      <c r="C11">
        <v>2</v>
      </c>
    </row>
    <row r="12" spans="1:3" x14ac:dyDescent="0.3">
      <c r="A12" t="s">
        <v>406</v>
      </c>
      <c r="B12" t="s">
        <v>410</v>
      </c>
      <c r="C12">
        <v>4</v>
      </c>
    </row>
    <row r="13" spans="1:3" x14ac:dyDescent="0.3">
      <c r="A13" t="s">
        <v>406</v>
      </c>
      <c r="B13" t="s">
        <v>357</v>
      </c>
      <c r="C13">
        <v>3</v>
      </c>
    </row>
    <row r="14" spans="1:3" x14ac:dyDescent="0.3">
      <c r="A14" t="s">
        <v>406</v>
      </c>
      <c r="B14" t="s">
        <v>362</v>
      </c>
      <c r="C14">
        <v>3</v>
      </c>
    </row>
    <row r="15" spans="1:3" x14ac:dyDescent="0.3">
      <c r="A15" t="s">
        <v>406</v>
      </c>
      <c r="B15" t="s">
        <v>532</v>
      </c>
      <c r="C15">
        <v>4</v>
      </c>
    </row>
    <row r="16" spans="1:3" x14ac:dyDescent="0.3">
      <c r="A16" t="s">
        <v>406</v>
      </c>
      <c r="B16" t="s">
        <v>411</v>
      </c>
      <c r="C1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survey</vt:lpstr>
      <vt:lpstr>summary</vt:lpstr>
      <vt:lpstr>SRF-detailed</vt:lpstr>
      <vt:lpstr>SRF-total</vt:lpstr>
      <vt:lpstr>Figure-2</vt:lpstr>
      <vt:lpstr>Figure-3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Zakeri, Behnam</cp:lastModifiedBy>
  <dcterms:created xsi:type="dcterms:W3CDTF">2025-12-16T14:07:47Z</dcterms:created>
  <dcterms:modified xsi:type="dcterms:W3CDTF">2026-04-02T13:21:08Z</dcterms:modified>
</cp:coreProperties>
</file>