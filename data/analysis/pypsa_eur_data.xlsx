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eri\My Drive\Job\IIASA\Projects\ECEMF\WP1\Storage survey\storage-iam-paper\data\analysis\"/>
    </mc:Choice>
  </mc:AlternateContent>
  <xr:revisionPtr revIDLastSave="0" documentId="13_ncr:1_{5663DC03-B692-4E6C-B9BD-2EB278AAA691}" xr6:coauthVersionLast="47" xr6:coauthVersionMax="47" xr10:uidLastSave="{00000000-0000-0000-0000-000000000000}"/>
  <bookViews>
    <workbookView xWindow="0" yWindow="0" windowWidth="23040" windowHeight="12360" activeTab="1" xr2:uid="{8B1BFF7F-92A3-442A-ACAF-EB4D6B28BEC1}"/>
  </bookViews>
  <sheets>
    <sheet name="pyps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2" l="1"/>
  <c r="C52" i="2"/>
  <c r="B52" i="2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52" i="1"/>
  <c r="E51" i="2"/>
  <c r="E47" i="2"/>
  <c r="D51" i="2"/>
  <c r="C51" i="2"/>
  <c r="B51" i="2"/>
  <c r="D50" i="2"/>
  <c r="C50" i="2"/>
  <c r="B50" i="2"/>
  <c r="D49" i="2"/>
  <c r="C49" i="2"/>
  <c r="B49" i="2"/>
  <c r="D47" i="2"/>
  <c r="C47" i="2"/>
  <c r="B47" i="2"/>
  <c r="D46" i="2"/>
  <c r="C46" i="2"/>
  <c r="B46" i="2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47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39" i="1"/>
  <c r="D39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BK38" i="1"/>
  <c r="BJ38" i="1"/>
  <c r="BI38" i="1"/>
  <c r="BH38" i="1"/>
  <c r="BG38" i="1"/>
  <c r="BF38" i="1"/>
  <c r="BF44" i="1" s="1"/>
  <c r="BE38" i="1"/>
  <c r="BD38" i="1"/>
  <c r="BC38" i="1"/>
  <c r="BB38" i="1"/>
  <c r="BB44" i="1" s="1"/>
  <c r="BA38" i="1"/>
  <c r="AZ38" i="1"/>
  <c r="AY38" i="1"/>
  <c r="AX38" i="1"/>
  <c r="AX44" i="1" s="1"/>
  <c r="AW38" i="1"/>
  <c r="AV38" i="1"/>
  <c r="AU38" i="1"/>
  <c r="AT38" i="1"/>
  <c r="AT44" i="1" s="1"/>
  <c r="AS38" i="1"/>
  <c r="AR38" i="1"/>
  <c r="AQ38" i="1"/>
  <c r="AP38" i="1"/>
  <c r="AP44" i="1" s="1"/>
  <c r="AO38" i="1"/>
  <c r="AN38" i="1"/>
  <c r="AM38" i="1"/>
  <c r="AL38" i="1"/>
  <c r="AK38" i="1"/>
  <c r="AJ38" i="1"/>
  <c r="AI38" i="1"/>
  <c r="AH38" i="1"/>
  <c r="AH44" i="1" s="1"/>
  <c r="AG38" i="1"/>
  <c r="AF38" i="1"/>
  <c r="AE38" i="1"/>
  <c r="AD38" i="1"/>
  <c r="AD44" i="1" s="1"/>
  <c r="AC38" i="1"/>
  <c r="AB38" i="1"/>
  <c r="AA38" i="1"/>
  <c r="Z38" i="1"/>
  <c r="Z44" i="1" s="1"/>
  <c r="Y38" i="1"/>
  <c r="X38" i="1"/>
  <c r="W38" i="1"/>
  <c r="V38" i="1"/>
  <c r="V44" i="1" s="1"/>
  <c r="U38" i="1"/>
  <c r="T38" i="1"/>
  <c r="S38" i="1"/>
  <c r="R38" i="1"/>
  <c r="R44" i="1" s="1"/>
  <c r="Q38" i="1"/>
  <c r="P38" i="1"/>
  <c r="O38" i="1"/>
  <c r="N38" i="1"/>
  <c r="N44" i="1" s="1"/>
  <c r="M38" i="1"/>
  <c r="L38" i="1"/>
  <c r="K38" i="1"/>
  <c r="J38" i="1"/>
  <c r="J44" i="1" s="1"/>
  <c r="I38" i="1"/>
  <c r="H38" i="1"/>
  <c r="G38" i="1"/>
  <c r="F38" i="1"/>
  <c r="E38" i="1"/>
  <c r="D38" i="1"/>
  <c r="C38" i="1"/>
  <c r="BK37" i="1"/>
  <c r="BK42" i="1" s="1"/>
  <c r="BJ37" i="1"/>
  <c r="BJ43" i="1" s="1"/>
  <c r="BI37" i="1"/>
  <c r="BI41" i="1" s="1"/>
  <c r="BH37" i="1"/>
  <c r="BH42" i="1" s="1"/>
  <c r="BG37" i="1"/>
  <c r="BG42" i="1" s="1"/>
  <c r="BF37" i="1"/>
  <c r="BF43" i="1" s="1"/>
  <c r="BE37" i="1"/>
  <c r="BD37" i="1"/>
  <c r="BC37" i="1"/>
  <c r="BC42" i="1" s="1"/>
  <c r="BB37" i="1"/>
  <c r="BB43" i="1" s="1"/>
  <c r="BA37" i="1"/>
  <c r="AZ37" i="1"/>
  <c r="AY37" i="1"/>
  <c r="AY42" i="1" s="1"/>
  <c r="AX37" i="1"/>
  <c r="AX43" i="1" s="1"/>
  <c r="AW37" i="1"/>
  <c r="AV37" i="1"/>
  <c r="AU37" i="1"/>
  <c r="AU42" i="1" s="1"/>
  <c r="AT37" i="1"/>
  <c r="AT43" i="1" s="1"/>
  <c r="AS37" i="1"/>
  <c r="AR37" i="1"/>
  <c r="AR42" i="1" s="1"/>
  <c r="AQ37" i="1"/>
  <c r="AQ42" i="1" s="1"/>
  <c r="AP37" i="1"/>
  <c r="AP43" i="1" s="1"/>
  <c r="AO37" i="1"/>
  <c r="AO41" i="1" s="1"/>
  <c r="AN37" i="1"/>
  <c r="AN42" i="1" s="1"/>
  <c r="AM37" i="1"/>
  <c r="AM42" i="1" s="1"/>
  <c r="AL37" i="1"/>
  <c r="AL43" i="1" s="1"/>
  <c r="AK37" i="1"/>
  <c r="AJ37" i="1"/>
  <c r="AI37" i="1"/>
  <c r="AI42" i="1" s="1"/>
  <c r="AH37" i="1"/>
  <c r="AH43" i="1" s="1"/>
  <c r="AG37" i="1"/>
  <c r="AF37" i="1"/>
  <c r="AE37" i="1"/>
  <c r="AE42" i="1" s="1"/>
  <c r="AD37" i="1"/>
  <c r="AD43" i="1" s="1"/>
  <c r="AC37" i="1"/>
  <c r="AC41" i="1" s="1"/>
  <c r="AB37" i="1"/>
  <c r="AB42" i="1" s="1"/>
  <c r="AA37" i="1"/>
  <c r="AA42" i="1" s="1"/>
  <c r="Z37" i="1"/>
  <c r="Z43" i="1" s="1"/>
  <c r="Y37" i="1"/>
  <c r="X37" i="1"/>
  <c r="W37" i="1"/>
  <c r="W42" i="1" s="1"/>
  <c r="V37" i="1"/>
  <c r="V43" i="1" s="1"/>
  <c r="U37" i="1"/>
  <c r="T37" i="1"/>
  <c r="S37" i="1"/>
  <c r="S42" i="1" s="1"/>
  <c r="R37" i="1"/>
  <c r="R43" i="1" s="1"/>
  <c r="Q37" i="1"/>
  <c r="Q41" i="1" s="1"/>
  <c r="P37" i="1"/>
  <c r="O37" i="1"/>
  <c r="O42" i="1" s="1"/>
  <c r="N37" i="1"/>
  <c r="N43" i="1" s="1"/>
  <c r="M37" i="1"/>
  <c r="L37" i="1"/>
  <c r="L42" i="1" s="1"/>
  <c r="K37" i="1"/>
  <c r="K42" i="1" s="1"/>
  <c r="J37" i="1"/>
  <c r="J43" i="1" s="1"/>
  <c r="I37" i="1"/>
  <c r="I41" i="1" s="1"/>
  <c r="H37" i="1"/>
  <c r="H42" i="1" s="1"/>
  <c r="G37" i="1"/>
  <c r="G42" i="1" s="1"/>
  <c r="F37" i="1"/>
  <c r="F43" i="1" s="1"/>
  <c r="E37" i="1"/>
  <c r="E43" i="1" s="1"/>
  <c r="D37" i="1"/>
  <c r="C37" i="1"/>
  <c r="C42" i="1" s="1"/>
  <c r="B42" i="1"/>
  <c r="B41" i="1"/>
  <c r="B38" i="1"/>
  <c r="D38" i="2" s="1"/>
  <c r="B37" i="1"/>
  <c r="D37" i="2" s="1"/>
  <c r="G41" i="1" l="1"/>
  <c r="AA41" i="1"/>
  <c r="AX41" i="1"/>
  <c r="AE43" i="1"/>
  <c r="BK43" i="1"/>
  <c r="J41" i="1"/>
  <c r="AE41" i="1"/>
  <c r="AY41" i="1"/>
  <c r="C43" i="1"/>
  <c r="AI43" i="1"/>
  <c r="F44" i="1"/>
  <c r="AL44" i="1"/>
  <c r="BE41" i="1"/>
  <c r="AW41" i="1"/>
  <c r="AG41" i="1"/>
  <c r="Y41" i="1"/>
  <c r="C44" i="1"/>
  <c r="K44" i="1"/>
  <c r="S44" i="1"/>
  <c r="AA44" i="1"/>
  <c r="AI44" i="1"/>
  <c r="AQ44" i="1"/>
  <c r="AY44" i="1"/>
  <c r="BG44" i="1"/>
  <c r="K41" i="1"/>
  <c r="AH41" i="1"/>
  <c r="BC41" i="1"/>
  <c r="G43" i="1"/>
  <c r="AM43" i="1"/>
  <c r="B37" i="2"/>
  <c r="B43" i="1"/>
  <c r="O41" i="1"/>
  <c r="AI41" i="1"/>
  <c r="BF41" i="1"/>
  <c r="K43" i="1"/>
  <c r="AQ43" i="1"/>
  <c r="C37" i="2"/>
  <c r="R41" i="1"/>
  <c r="AM41" i="1"/>
  <c r="BG41" i="1"/>
  <c r="O43" i="1"/>
  <c r="AU43" i="1"/>
  <c r="BJ41" i="1"/>
  <c r="BB41" i="1"/>
  <c r="AT41" i="1"/>
  <c r="AL41" i="1"/>
  <c r="AD41" i="1"/>
  <c r="V41" i="1"/>
  <c r="N41" i="1"/>
  <c r="F41" i="1"/>
  <c r="BJ44" i="1"/>
  <c r="S41" i="1"/>
  <c r="AP41" i="1"/>
  <c r="BK41" i="1"/>
  <c r="S43" i="1"/>
  <c r="AY43" i="1"/>
  <c r="B38" i="2"/>
  <c r="C39" i="2"/>
  <c r="B44" i="1"/>
  <c r="G44" i="1"/>
  <c r="O44" i="1"/>
  <c r="W44" i="1"/>
  <c r="AE44" i="1"/>
  <c r="AM44" i="1"/>
  <c r="AU44" i="1"/>
  <c r="BC44" i="1"/>
  <c r="BK44" i="1"/>
  <c r="W41" i="1"/>
  <c r="AQ41" i="1"/>
  <c r="W43" i="1"/>
  <c r="BC43" i="1"/>
  <c r="C38" i="2"/>
  <c r="C41" i="1"/>
  <c r="D41" i="2" s="1"/>
  <c r="Z41" i="1"/>
  <c r="AU41" i="1"/>
  <c r="AA43" i="1"/>
  <c r="BG43" i="1"/>
  <c r="B39" i="2"/>
  <c r="U42" i="1"/>
  <c r="U43" i="1"/>
  <c r="AG43" i="1"/>
  <c r="AG42" i="1"/>
  <c r="AS42" i="1"/>
  <c r="AS43" i="1"/>
  <c r="BE43" i="1"/>
  <c r="BE42" i="1"/>
  <c r="H44" i="1"/>
  <c r="T44" i="1"/>
  <c r="AV44" i="1"/>
  <c r="AZ44" i="1"/>
  <c r="BD44" i="1"/>
  <c r="BH44" i="1"/>
  <c r="D41" i="1"/>
  <c r="D43" i="1"/>
  <c r="L41" i="1"/>
  <c r="L43" i="1"/>
  <c r="P41" i="1"/>
  <c r="P43" i="1"/>
  <c r="T41" i="1"/>
  <c r="T43" i="1"/>
  <c r="X41" i="1"/>
  <c r="X43" i="1"/>
  <c r="AB41" i="1"/>
  <c r="AB43" i="1"/>
  <c r="AF41" i="1"/>
  <c r="AF43" i="1"/>
  <c r="AJ41" i="1"/>
  <c r="AJ43" i="1"/>
  <c r="AN41" i="1"/>
  <c r="AN43" i="1"/>
  <c r="AR41" i="1"/>
  <c r="AR43" i="1"/>
  <c r="AV41" i="1"/>
  <c r="AV43" i="1"/>
  <c r="AZ41" i="1"/>
  <c r="AZ43" i="1"/>
  <c r="BD41" i="1"/>
  <c r="BD43" i="1"/>
  <c r="BH41" i="1"/>
  <c r="BH43" i="1"/>
  <c r="X42" i="1"/>
  <c r="M42" i="1"/>
  <c r="M43" i="1"/>
  <c r="Y43" i="1"/>
  <c r="Y42" i="1"/>
  <c r="AK42" i="1"/>
  <c r="AK43" i="1"/>
  <c r="AO43" i="1"/>
  <c r="AO42" i="1"/>
  <c r="BA42" i="1"/>
  <c r="BA43" i="1"/>
  <c r="BI43" i="1"/>
  <c r="BI42" i="1"/>
  <c r="D44" i="1"/>
  <c r="L44" i="1"/>
  <c r="P44" i="1"/>
  <c r="X44" i="1"/>
  <c r="AB44" i="1"/>
  <c r="AF44" i="1"/>
  <c r="AJ44" i="1"/>
  <c r="AN44" i="1"/>
  <c r="AR44" i="1"/>
  <c r="AO44" i="1"/>
  <c r="AS44" i="1"/>
  <c r="AW44" i="1"/>
  <c r="BA44" i="1"/>
  <c r="BE44" i="1"/>
  <c r="BI44" i="1"/>
  <c r="E41" i="1"/>
  <c r="M41" i="1"/>
  <c r="U41" i="1"/>
  <c r="AK41" i="1"/>
  <c r="AS41" i="1"/>
  <c r="BA41" i="1"/>
  <c r="D42" i="1"/>
  <c r="D42" i="2" s="1"/>
  <c r="P42" i="1"/>
  <c r="AF42" i="1"/>
  <c r="AV42" i="1"/>
  <c r="H41" i="1"/>
  <c r="H43" i="1"/>
  <c r="BD42" i="1"/>
  <c r="I43" i="1"/>
  <c r="I42" i="1"/>
  <c r="Q43" i="1"/>
  <c r="Q42" i="1"/>
  <c r="AC42" i="1"/>
  <c r="AC43" i="1"/>
  <c r="AW43" i="1"/>
  <c r="AW42" i="1"/>
  <c r="E44" i="1"/>
  <c r="I44" i="1"/>
  <c r="M44" i="1"/>
  <c r="Q44" i="1"/>
  <c r="U44" i="1"/>
  <c r="Y44" i="1"/>
  <c r="AC44" i="1"/>
  <c r="AG44" i="1"/>
  <c r="AK44" i="1"/>
  <c r="E42" i="1"/>
  <c r="T42" i="1"/>
  <c r="AJ42" i="1"/>
  <c r="AZ42" i="1"/>
  <c r="F42" i="1"/>
  <c r="J42" i="1"/>
  <c r="N42" i="1"/>
  <c r="R42" i="1"/>
  <c r="V42" i="1"/>
  <c r="Z42" i="1"/>
  <c r="AD42" i="1"/>
  <c r="AH42" i="1"/>
  <c r="AL42" i="1"/>
  <c r="AP42" i="1"/>
  <c r="AT42" i="1"/>
  <c r="AX42" i="1"/>
  <c r="BB42" i="1"/>
  <c r="BF42" i="1"/>
  <c r="BJ42" i="1"/>
  <c r="B44" i="2" l="1"/>
  <c r="D44" i="2"/>
  <c r="C44" i="2"/>
  <c r="B42" i="2"/>
  <c r="D43" i="2"/>
  <c r="C43" i="2"/>
  <c r="B43" i="2"/>
  <c r="C41" i="2"/>
  <c r="B41" i="2"/>
  <c r="C42" i="2"/>
</calcChain>
</file>

<file path=xl/sharedStrings.xml><?xml version="1.0" encoding="utf-8"?>
<sst xmlns="http://schemas.openxmlformats.org/spreadsheetml/2006/main" count="97" uniqueCount="52">
  <si>
    <t>tech</t>
  </si>
  <si>
    <t>Min</t>
  </si>
  <si>
    <t>Average</t>
  </si>
  <si>
    <t>Max</t>
  </si>
  <si>
    <t>CCGT</t>
  </si>
  <si>
    <t>OCGT</t>
  </si>
  <si>
    <t>nuclear</t>
  </si>
  <si>
    <t>offwind-ac</t>
  </si>
  <si>
    <t>offwind-dc</t>
  </si>
  <si>
    <t>oil</t>
  </si>
  <si>
    <t>coal</t>
  </si>
  <si>
    <t>lignite</t>
  </si>
  <si>
    <t>onwind</t>
  </si>
  <si>
    <t>hydro</t>
  </si>
  <si>
    <t>ror</t>
  </si>
  <si>
    <t>solar</t>
  </si>
  <si>
    <t>solar rooftop</t>
  </si>
  <si>
    <t>gas CHP</t>
  </si>
  <si>
    <t>gas CHP CC</t>
  </si>
  <si>
    <t>solid biomass CHP</t>
  </si>
  <si>
    <t>solid biomass CHP CC</t>
  </si>
  <si>
    <t>electric vehicle to grid</t>
  </si>
  <si>
    <t>battery discharger</t>
  </si>
  <si>
    <t>home battery discharger</t>
  </si>
  <si>
    <t>H2 Electrolysis</t>
  </si>
  <si>
    <t>H2 Fuel Cell</t>
  </si>
  <si>
    <t>residential rural water tanks charger</t>
  </si>
  <si>
    <t>residential rural water tanks discharger</t>
  </si>
  <si>
    <t>residential urban decentral water tanks charger</t>
  </si>
  <si>
    <t>residential urban decentral water tanks discharger</t>
  </si>
  <si>
    <t>services rural water tanks charger</t>
  </si>
  <si>
    <t>services rural water tanks discharger</t>
  </si>
  <si>
    <t>services urban decentral water tanks charger</t>
  </si>
  <si>
    <t>services urban decentral water tanks discharger</t>
  </si>
  <si>
    <t>urban central water tanks charger</t>
  </si>
  <si>
    <t>urban central water tanks discharger</t>
  </si>
  <si>
    <t>PHS</t>
  </si>
  <si>
    <t>Total power capacity</t>
  </si>
  <si>
    <t>Total VRE capacity</t>
  </si>
  <si>
    <t>Electricity storage</t>
  </si>
  <si>
    <t>Electricity storage (utility/stationary) to total power</t>
  </si>
  <si>
    <t>Electricity storage (mobbile/V2G) to total power</t>
  </si>
  <si>
    <t>Hydrogen electrolysers to total</t>
  </si>
  <si>
    <t>VRE to total</t>
  </si>
  <si>
    <t>Electricity storage (mobile/V2G) to total power</t>
  </si>
  <si>
    <t>Peak demand</t>
  </si>
  <si>
    <t xml:space="preserve">Electricity storage to peak demand </t>
  </si>
  <si>
    <t>Share of VRE from total capacity</t>
  </si>
  <si>
    <t>Total electricity generation (TWh)</t>
  </si>
  <si>
    <t>Total VRE electricity generation (TWh)</t>
  </si>
  <si>
    <t>Share of VRE in total generation</t>
  </si>
  <si>
    <t>Share of solar in 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</si>
</sst>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49" fontId="16" fillId="33" borderId="0" xfId="0" applyNumberFormat="1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9" fontId="0" fillId="34" borderId="0" xfId="0" applyNumberFormat="1" applyFill="1"/>
    <xf numFmtId="0" fontId="16" fillId="0" borderId="10" xfId="0" applyFont="1" applyBorder="1"/>
    <xf numFmtId="0" fontId="16" fillId="0" borderId="0" xfId="0" applyFont="1"/>
    <xf numFmtId="0" fontId="16" fillId="0" borderId="11" xfId="0" applyFont="1" applyBorder="1"/>
    <xf numFmtId="9" fontId="0" fillId="34" borderId="0" xfId="1" applyFont="1" applyFill="1"/>
    <xf numFmtId="164" fontId="0" fillId="0" borderId="0" xfId="0" applyNumberFormat="1"/>
    <xf numFmtId="164" fontId="0" fillId="0" borderId="11" xfId="0" applyNumberFormat="1" applyBorder="1"/>
    <xf numFmtId="164" fontId="0" fillId="0" borderId="10" xfId="0" applyNumberFormat="1" applyBorder="1"/>
    <xf numFmtId="164" fontId="0" fillId="35" borderId="10" xfId="0" applyNumberFormat="1" applyFill="1" applyBorder="1"/>
    <xf numFmtId="164" fontId="0" fillId="35" borderId="0" xfId="0" applyNumberFormat="1" applyFill="1"/>
    <xf numFmtId="164" fontId="0" fillId="35" borderId="11" xfId="0" applyNumberFormat="1" applyFill="1" applyBorder="1"/>
    <xf numFmtId="164" fontId="0" fillId="36" borderId="10" xfId="0" applyNumberFormat="1" applyFill="1" applyBorder="1"/>
    <xf numFmtId="164" fontId="0" fillId="36" borderId="0" xfId="0" applyNumberFormat="1" applyFill="1"/>
    <xf numFmtId="164" fontId="0" fillId="36" borderId="11" xfId="0" applyNumberFormat="1" applyFill="1" applyBorder="1"/>
    <xf numFmtId="9" fontId="0" fillId="34" borderId="10" xfId="1" applyFont="1" applyFill="1" applyBorder="1"/>
    <xf numFmtId="9" fontId="0" fillId="34" borderId="0" xfId="1" applyFont="1" applyFill="1" applyBorder="1"/>
    <xf numFmtId="9" fontId="0" fillId="34" borderId="11" xfId="1" applyFont="1" applyFill="1" applyBorder="1"/>
    <xf numFmtId="0" fontId="0" fillId="37" borderId="0" xfId="0" applyFill="1"/>
    <xf numFmtId="9" fontId="0" fillId="37" borderId="0" xfId="1" applyFont="1" applyFill="1"/>
    <xf numFmtId="1" fontId="0" fillId="0" borderId="0" xfId="0" applyNumberFormat="1"/>
    <xf numFmtId="9" fontId="0" fillId="0" borderId="0" xfId="0" applyNumberFormat="1"/>
    <xf numFmtId="165" fontId="0" fillId="36" borderId="10" xfId="1" applyNumberFormat="1" applyFont="1" applyFill="1" applyBorder="1"/>
    <xf numFmtId="165" fontId="0" fillId="36" borderId="0" xfId="1" applyNumberFormat="1" applyFont="1" applyFill="1"/>
    <xf numFmtId="165" fontId="0" fillId="36" borderId="11" xfId="1" applyNumberFormat="1" applyFont="1" applyFill="1" applyBorder="1"/>
    <xf numFmtId="1" fontId="0" fillId="34" borderId="10" xfId="1" applyNumberFormat="1" applyFont="1" applyFill="1" applyBorder="1"/>
    <xf numFmtId="1" fontId="0" fillId="34" borderId="0" xfId="1" applyNumberFormat="1" applyFont="1" applyFill="1" applyBorder="1"/>
    <xf numFmtId="1" fontId="0" fillId="34" borderId="11" xfId="1" applyNumberFormat="1" applyFont="1" applyFill="1" applyBorder="1"/>
    <xf numFmtId="165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88B1-59EF-4F82-9329-8DF67330DDB8}">
  <dimension ref="A1:BK52"/>
  <sheetViews>
    <sheetView topLeftCell="AP28" workbookViewId="0">
      <selection activeCell="B52" sqref="B52:BK52"/>
    </sheetView>
  </sheetViews>
  <sheetFormatPr defaultRowHeight="14.4" x14ac:dyDescent="0.3"/>
  <cols>
    <col min="1" max="1" width="23.33203125" customWidth="1"/>
  </cols>
  <sheetData>
    <row r="1" spans="1:63" x14ac:dyDescent="0.3">
      <c r="A1" s="1" t="s">
        <v>0</v>
      </c>
      <c r="B1" s="1">
        <v>1960</v>
      </c>
      <c r="C1" s="1">
        <v>1961</v>
      </c>
      <c r="D1" s="1">
        <v>1962</v>
      </c>
      <c r="E1" s="1">
        <v>1963</v>
      </c>
      <c r="F1" s="1">
        <v>1964</v>
      </c>
      <c r="G1" s="1">
        <v>1965</v>
      </c>
      <c r="H1" s="1">
        <v>1966</v>
      </c>
      <c r="I1" s="1">
        <v>1967</v>
      </c>
      <c r="J1" s="1">
        <v>1968</v>
      </c>
      <c r="K1" s="1">
        <v>1969</v>
      </c>
      <c r="L1" s="1">
        <v>1970</v>
      </c>
      <c r="M1" s="1">
        <v>1971</v>
      </c>
      <c r="N1" s="1">
        <v>1972</v>
      </c>
      <c r="O1" s="1">
        <v>1973</v>
      </c>
      <c r="P1" s="1">
        <v>1974</v>
      </c>
      <c r="Q1" s="1">
        <v>1975</v>
      </c>
      <c r="R1" s="1">
        <v>1976</v>
      </c>
      <c r="S1" s="1">
        <v>1977</v>
      </c>
      <c r="T1" s="1">
        <v>1978</v>
      </c>
      <c r="U1" s="1">
        <v>1979</v>
      </c>
      <c r="V1" s="1">
        <v>1980</v>
      </c>
      <c r="W1" s="1">
        <v>1981</v>
      </c>
      <c r="X1" s="1">
        <v>1982</v>
      </c>
      <c r="Y1" s="1">
        <v>1983</v>
      </c>
      <c r="Z1" s="1">
        <v>1984</v>
      </c>
      <c r="AA1" s="1">
        <v>1985</v>
      </c>
      <c r="AB1" s="1">
        <v>1986</v>
      </c>
      <c r="AC1" s="1">
        <v>1987</v>
      </c>
      <c r="AD1" s="1">
        <v>1988</v>
      </c>
      <c r="AE1" s="1">
        <v>1989</v>
      </c>
      <c r="AF1" s="1">
        <v>1990</v>
      </c>
      <c r="AG1" s="1">
        <v>1991</v>
      </c>
      <c r="AH1" s="1">
        <v>1992</v>
      </c>
      <c r="AI1" s="1">
        <v>1993</v>
      </c>
      <c r="AJ1" s="1">
        <v>1994</v>
      </c>
      <c r="AK1" s="1">
        <v>1995</v>
      </c>
      <c r="AL1" s="1">
        <v>1996</v>
      </c>
      <c r="AM1" s="1">
        <v>1997</v>
      </c>
      <c r="AN1" s="1">
        <v>1998</v>
      </c>
      <c r="AO1" s="1">
        <v>1999</v>
      </c>
      <c r="AP1" s="1">
        <v>2000</v>
      </c>
      <c r="AQ1" s="1">
        <v>2001</v>
      </c>
      <c r="AR1" s="1">
        <v>2002</v>
      </c>
      <c r="AS1" s="1">
        <v>2003</v>
      </c>
      <c r="AT1" s="1">
        <v>2004</v>
      </c>
      <c r="AU1" s="1">
        <v>2005</v>
      </c>
      <c r="AV1" s="1">
        <v>2006</v>
      </c>
      <c r="AW1" s="1">
        <v>2007</v>
      </c>
      <c r="AX1" s="1">
        <v>2008</v>
      </c>
      <c r="AY1" s="1">
        <v>2009</v>
      </c>
      <c r="AZ1" s="1">
        <v>2010</v>
      </c>
      <c r="BA1" s="1">
        <v>2011</v>
      </c>
      <c r="BB1" s="1">
        <v>2012</v>
      </c>
      <c r="BC1" s="1">
        <v>2013</v>
      </c>
      <c r="BD1" s="1">
        <v>2014</v>
      </c>
      <c r="BE1" s="1">
        <v>2015</v>
      </c>
      <c r="BF1" s="1">
        <v>2016</v>
      </c>
      <c r="BG1" s="1">
        <v>2017</v>
      </c>
      <c r="BH1" s="1">
        <v>2018</v>
      </c>
      <c r="BI1" s="1">
        <v>2019</v>
      </c>
      <c r="BJ1" s="1">
        <v>2020</v>
      </c>
      <c r="BK1" s="1">
        <v>2021</v>
      </c>
    </row>
    <row r="2" spans="1:63" x14ac:dyDescent="0.3">
      <c r="A2" t="s">
        <v>4</v>
      </c>
      <c r="B2">
        <v>0</v>
      </c>
      <c r="C2">
        <v>0</v>
      </c>
      <c r="D2">
        <v>0.8</v>
      </c>
      <c r="E2">
        <v>0</v>
      </c>
      <c r="F2">
        <v>0</v>
      </c>
      <c r="G2">
        <v>0</v>
      </c>
      <c r="H2">
        <v>0</v>
      </c>
      <c r="I2">
        <v>0</v>
      </c>
      <c r="J2">
        <v>0.3</v>
      </c>
      <c r="K2">
        <v>0.2</v>
      </c>
      <c r="L2">
        <v>0</v>
      </c>
      <c r="M2">
        <v>0.9</v>
      </c>
      <c r="N2">
        <v>0</v>
      </c>
      <c r="O2">
        <v>0.5</v>
      </c>
      <c r="P2">
        <v>0</v>
      </c>
      <c r="Q2">
        <v>0.5</v>
      </c>
      <c r="R2">
        <v>0.8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0.8</v>
      </c>
      <c r="Z2">
        <v>0</v>
      </c>
      <c r="AA2">
        <v>0</v>
      </c>
      <c r="AB2">
        <v>0</v>
      </c>
      <c r="AC2">
        <v>0</v>
      </c>
      <c r="AD2">
        <v>0.5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0.7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0.4</v>
      </c>
      <c r="AV2">
        <v>0</v>
      </c>
      <c r="AW2">
        <v>0.6</v>
      </c>
      <c r="AX2">
        <v>0</v>
      </c>
      <c r="AY2">
        <v>0</v>
      </c>
      <c r="AZ2">
        <v>0</v>
      </c>
      <c r="BA2">
        <v>0.7</v>
      </c>
      <c r="BB2">
        <v>0.4</v>
      </c>
      <c r="BC2">
        <v>0</v>
      </c>
      <c r="BD2">
        <v>0</v>
      </c>
      <c r="BE2">
        <v>0.3</v>
      </c>
      <c r="BF2">
        <v>0</v>
      </c>
      <c r="BG2">
        <v>0.1</v>
      </c>
      <c r="BH2">
        <v>0</v>
      </c>
      <c r="BI2">
        <v>0</v>
      </c>
      <c r="BJ2">
        <v>0</v>
      </c>
      <c r="BK2">
        <v>0.3</v>
      </c>
    </row>
    <row r="3" spans="1:63" x14ac:dyDescent="0.3">
      <c r="A3" t="s">
        <v>5</v>
      </c>
      <c r="B3">
        <v>34.700000000000003</v>
      </c>
      <c r="C3">
        <v>24.9</v>
      </c>
      <c r="D3">
        <v>50.4</v>
      </c>
      <c r="E3">
        <v>25.6</v>
      </c>
      <c r="F3">
        <v>19.899999999999999</v>
      </c>
      <c r="G3">
        <v>34</v>
      </c>
      <c r="H3">
        <v>50.9</v>
      </c>
      <c r="I3">
        <v>44.3</v>
      </c>
      <c r="J3">
        <v>58</v>
      </c>
      <c r="K3">
        <v>58.3</v>
      </c>
      <c r="L3">
        <v>37.200000000000003</v>
      </c>
      <c r="M3">
        <v>24.3</v>
      </c>
      <c r="N3">
        <v>33.200000000000003</v>
      </c>
      <c r="O3">
        <v>23.5</v>
      </c>
      <c r="P3">
        <v>67.3</v>
      </c>
      <c r="Q3">
        <v>58.4</v>
      </c>
      <c r="R3">
        <v>24.9</v>
      </c>
      <c r="S3">
        <v>36.6</v>
      </c>
      <c r="T3">
        <v>44</v>
      </c>
      <c r="U3">
        <v>30</v>
      </c>
      <c r="V3">
        <v>33.5</v>
      </c>
      <c r="W3">
        <v>29.3</v>
      </c>
      <c r="X3">
        <v>40.700000000000003</v>
      </c>
      <c r="Y3">
        <v>40.9</v>
      </c>
      <c r="Z3">
        <v>45.5</v>
      </c>
      <c r="AA3">
        <v>17.8</v>
      </c>
      <c r="AB3">
        <v>39</v>
      </c>
      <c r="AC3">
        <v>31.2</v>
      </c>
      <c r="AD3">
        <v>84.9</v>
      </c>
      <c r="AE3">
        <v>20</v>
      </c>
      <c r="AF3">
        <v>40</v>
      </c>
      <c r="AG3">
        <v>11.3</v>
      </c>
      <c r="AH3">
        <v>10</v>
      </c>
      <c r="AI3">
        <v>35.700000000000003</v>
      </c>
      <c r="AJ3">
        <v>26.1</v>
      </c>
      <c r="AK3">
        <v>34</v>
      </c>
      <c r="AL3">
        <v>44</v>
      </c>
      <c r="AM3">
        <v>8.1999999999999993</v>
      </c>
      <c r="AN3">
        <v>38.700000000000003</v>
      </c>
      <c r="AO3">
        <v>47.3</v>
      </c>
      <c r="AP3">
        <v>47.4</v>
      </c>
      <c r="AQ3">
        <v>49.4</v>
      </c>
      <c r="AR3">
        <v>15.4</v>
      </c>
      <c r="AS3">
        <v>47.6</v>
      </c>
      <c r="AT3">
        <v>31.1</v>
      </c>
      <c r="AU3">
        <v>24.2</v>
      </c>
      <c r="AV3">
        <v>25.4</v>
      </c>
      <c r="AW3">
        <v>55.4</v>
      </c>
      <c r="AX3">
        <v>37.799999999999997</v>
      </c>
      <c r="AY3">
        <v>24.8</v>
      </c>
      <c r="AZ3">
        <v>9.5</v>
      </c>
      <c r="BA3">
        <v>23.6</v>
      </c>
      <c r="BB3">
        <v>17.3</v>
      </c>
      <c r="BC3">
        <v>25.7</v>
      </c>
      <c r="BD3">
        <v>47.6</v>
      </c>
      <c r="BE3">
        <v>72.5</v>
      </c>
      <c r="BF3">
        <v>41.8</v>
      </c>
      <c r="BG3">
        <v>19.5</v>
      </c>
      <c r="BH3">
        <v>31.1</v>
      </c>
      <c r="BI3">
        <v>66.7</v>
      </c>
      <c r="BJ3">
        <v>25.8</v>
      </c>
      <c r="BK3">
        <v>24.2</v>
      </c>
    </row>
    <row r="4" spans="1:63" x14ac:dyDescent="0.3">
      <c r="A4" t="s">
        <v>6</v>
      </c>
      <c r="B4">
        <v>16.899999999999999</v>
      </c>
      <c r="C4">
        <v>4.2</v>
      </c>
      <c r="D4">
        <v>13.5</v>
      </c>
      <c r="E4">
        <v>31.9</v>
      </c>
      <c r="F4">
        <v>27.2</v>
      </c>
      <c r="G4">
        <v>9.1</v>
      </c>
      <c r="H4">
        <v>19.8</v>
      </c>
      <c r="I4">
        <v>1.9</v>
      </c>
      <c r="J4">
        <v>36.5</v>
      </c>
      <c r="K4">
        <v>19.5</v>
      </c>
      <c r="L4">
        <v>13.3</v>
      </c>
      <c r="M4">
        <v>17.3</v>
      </c>
      <c r="N4">
        <v>63.9</v>
      </c>
      <c r="O4">
        <v>16.399999999999999</v>
      </c>
      <c r="P4">
        <v>4.8</v>
      </c>
      <c r="Q4">
        <v>17.100000000000001</v>
      </c>
      <c r="R4">
        <v>15.7</v>
      </c>
      <c r="S4">
        <v>13.7</v>
      </c>
      <c r="T4">
        <v>14.8</v>
      </c>
      <c r="U4">
        <v>9.1999999999999993</v>
      </c>
      <c r="V4">
        <v>9.3000000000000007</v>
      </c>
      <c r="W4">
        <v>4.5</v>
      </c>
      <c r="X4">
        <v>13.3</v>
      </c>
      <c r="Y4">
        <v>0.2</v>
      </c>
      <c r="Z4">
        <v>21.3</v>
      </c>
      <c r="AA4">
        <v>14.8</v>
      </c>
      <c r="AB4">
        <v>2.8</v>
      </c>
      <c r="AC4">
        <v>20.100000000000001</v>
      </c>
      <c r="AD4">
        <v>4.8</v>
      </c>
      <c r="AE4">
        <v>5.8</v>
      </c>
      <c r="AF4">
        <v>4.2</v>
      </c>
      <c r="AG4">
        <v>8.5</v>
      </c>
      <c r="AH4">
        <v>3.2</v>
      </c>
      <c r="AI4">
        <v>0.4</v>
      </c>
      <c r="AJ4">
        <v>5.8</v>
      </c>
      <c r="AK4">
        <v>9.1</v>
      </c>
      <c r="AL4">
        <v>28.8</v>
      </c>
      <c r="AM4">
        <v>19.7</v>
      </c>
      <c r="AN4">
        <v>1.1000000000000001</v>
      </c>
      <c r="AO4">
        <v>1.7</v>
      </c>
      <c r="AP4">
        <v>2.4</v>
      </c>
      <c r="AQ4">
        <v>9.9</v>
      </c>
      <c r="AR4">
        <v>13.3</v>
      </c>
      <c r="AS4">
        <v>1</v>
      </c>
      <c r="AT4">
        <v>8.1</v>
      </c>
      <c r="AU4">
        <v>2.1</v>
      </c>
      <c r="AV4">
        <v>4.0999999999999996</v>
      </c>
      <c r="AW4">
        <v>6.4</v>
      </c>
      <c r="AX4">
        <v>3.1</v>
      </c>
      <c r="AY4">
        <v>17.100000000000001</v>
      </c>
      <c r="AZ4">
        <v>18.8</v>
      </c>
      <c r="BA4">
        <v>3.7</v>
      </c>
      <c r="BB4">
        <v>1.7</v>
      </c>
      <c r="BC4">
        <v>15.3</v>
      </c>
      <c r="BD4">
        <v>20.399999999999999</v>
      </c>
      <c r="BE4">
        <v>7.3</v>
      </c>
      <c r="BF4">
        <v>19.7</v>
      </c>
      <c r="BG4">
        <v>2.2999999999999998</v>
      </c>
      <c r="BH4">
        <v>9.9</v>
      </c>
      <c r="BI4">
        <v>0.8</v>
      </c>
      <c r="BJ4">
        <v>6.5</v>
      </c>
      <c r="BK4">
        <v>19.600000000000001</v>
      </c>
    </row>
    <row r="5" spans="1:63" x14ac:dyDescent="0.3">
      <c r="A5" t="s">
        <v>7</v>
      </c>
      <c r="B5">
        <v>25.1</v>
      </c>
      <c r="C5">
        <v>16.3</v>
      </c>
      <c r="D5">
        <v>16.3</v>
      </c>
      <c r="E5">
        <v>14</v>
      </c>
      <c r="F5">
        <v>16.3</v>
      </c>
      <c r="G5">
        <v>11.4</v>
      </c>
      <c r="H5">
        <v>21.5</v>
      </c>
      <c r="I5">
        <v>13.3</v>
      </c>
      <c r="J5">
        <v>16.5</v>
      </c>
      <c r="K5">
        <v>27.7</v>
      </c>
      <c r="L5">
        <v>35.6</v>
      </c>
      <c r="M5">
        <v>16.100000000000001</v>
      </c>
      <c r="N5">
        <v>11.6</v>
      </c>
      <c r="O5">
        <v>11.4</v>
      </c>
      <c r="P5">
        <v>16.3</v>
      </c>
      <c r="Q5">
        <v>16.3</v>
      </c>
      <c r="R5">
        <v>11.4</v>
      </c>
      <c r="S5">
        <v>11.4</v>
      </c>
      <c r="T5">
        <v>11.4</v>
      </c>
      <c r="U5">
        <v>16.399999999999999</v>
      </c>
      <c r="V5">
        <v>11.4</v>
      </c>
      <c r="W5">
        <v>11.4</v>
      </c>
      <c r="X5">
        <v>35.6</v>
      </c>
      <c r="Y5">
        <v>11.4</v>
      </c>
      <c r="Z5">
        <v>11.4</v>
      </c>
      <c r="AA5">
        <v>11.4</v>
      </c>
      <c r="AB5">
        <v>11.4</v>
      </c>
      <c r="AC5">
        <v>8.3000000000000007</v>
      </c>
      <c r="AD5">
        <v>11.4</v>
      </c>
      <c r="AE5">
        <v>7.1</v>
      </c>
      <c r="AF5">
        <v>31.7</v>
      </c>
      <c r="AG5">
        <v>9.6</v>
      </c>
      <c r="AH5">
        <v>11.4</v>
      </c>
      <c r="AI5">
        <v>8.8000000000000007</v>
      </c>
      <c r="AJ5">
        <v>32.700000000000003</v>
      </c>
      <c r="AK5">
        <v>15.4</v>
      </c>
      <c r="AL5">
        <v>11.4</v>
      </c>
      <c r="AM5">
        <v>35.6</v>
      </c>
      <c r="AN5">
        <v>11.4</v>
      </c>
      <c r="AO5">
        <v>9.8000000000000007</v>
      </c>
      <c r="AP5">
        <v>12.2</v>
      </c>
      <c r="AQ5">
        <v>11.4</v>
      </c>
      <c r="AR5">
        <v>12.3</v>
      </c>
      <c r="AS5">
        <v>8.3000000000000007</v>
      </c>
      <c r="AT5">
        <v>13.2</v>
      </c>
      <c r="AU5">
        <v>8.5</v>
      </c>
      <c r="AV5">
        <v>11.4</v>
      </c>
      <c r="AW5">
        <v>14.6</v>
      </c>
      <c r="AX5">
        <v>13.3</v>
      </c>
      <c r="AY5">
        <v>13</v>
      </c>
      <c r="AZ5">
        <v>35.6</v>
      </c>
      <c r="BA5">
        <v>38.799999999999997</v>
      </c>
      <c r="BB5">
        <v>16.3</v>
      </c>
      <c r="BC5">
        <v>38.799999999999997</v>
      </c>
      <c r="BD5">
        <v>41.5</v>
      </c>
      <c r="BE5">
        <v>39.5</v>
      </c>
      <c r="BF5">
        <v>16.3</v>
      </c>
      <c r="BG5">
        <v>14</v>
      </c>
      <c r="BH5">
        <v>11.4</v>
      </c>
      <c r="BI5">
        <v>12.4</v>
      </c>
      <c r="BJ5">
        <v>17.3</v>
      </c>
      <c r="BK5">
        <v>16.3</v>
      </c>
    </row>
    <row r="6" spans="1:63" x14ac:dyDescent="0.3">
      <c r="A6" t="s">
        <v>8</v>
      </c>
      <c r="B6">
        <v>165.3</v>
      </c>
      <c r="C6">
        <v>136.69999999999999</v>
      </c>
      <c r="D6">
        <v>152.30000000000001</v>
      </c>
      <c r="E6">
        <v>157.80000000000001</v>
      </c>
      <c r="F6">
        <v>159.5</v>
      </c>
      <c r="G6">
        <v>137.69999999999999</v>
      </c>
      <c r="H6">
        <v>165.4</v>
      </c>
      <c r="I6">
        <v>154.30000000000001</v>
      </c>
      <c r="J6">
        <v>153.30000000000001</v>
      </c>
      <c r="K6">
        <v>164.7</v>
      </c>
      <c r="L6">
        <v>138.4</v>
      </c>
      <c r="M6">
        <v>142.80000000000001</v>
      </c>
      <c r="N6">
        <v>170.4</v>
      </c>
      <c r="O6">
        <v>125.5</v>
      </c>
      <c r="P6">
        <v>116.2</v>
      </c>
      <c r="Q6">
        <v>123.4</v>
      </c>
      <c r="R6">
        <v>167</v>
      </c>
      <c r="S6">
        <v>173.3</v>
      </c>
      <c r="T6">
        <v>149.4</v>
      </c>
      <c r="U6">
        <v>135.80000000000001</v>
      </c>
      <c r="V6">
        <v>153.19999999999999</v>
      </c>
      <c r="W6">
        <v>155.19999999999999</v>
      </c>
      <c r="X6">
        <v>147.19999999999999</v>
      </c>
      <c r="Y6">
        <v>120.3</v>
      </c>
      <c r="Z6">
        <v>148.4</v>
      </c>
      <c r="AA6">
        <v>150</v>
      </c>
      <c r="AB6">
        <v>142.9</v>
      </c>
      <c r="AC6">
        <v>131.69999999999999</v>
      </c>
      <c r="AD6">
        <v>144.4</v>
      </c>
      <c r="AE6">
        <v>133.4</v>
      </c>
      <c r="AF6">
        <v>118.1</v>
      </c>
      <c r="AG6">
        <v>153.9</v>
      </c>
      <c r="AH6">
        <v>160.9</v>
      </c>
      <c r="AI6">
        <v>126.7</v>
      </c>
      <c r="AJ6">
        <v>146.6</v>
      </c>
      <c r="AK6">
        <v>126.1</v>
      </c>
      <c r="AL6">
        <v>174.8</v>
      </c>
      <c r="AM6">
        <v>148.5</v>
      </c>
      <c r="AN6">
        <v>166.2</v>
      </c>
      <c r="AO6">
        <v>141.6</v>
      </c>
      <c r="AP6">
        <v>107.7</v>
      </c>
      <c r="AQ6">
        <v>137.9</v>
      </c>
      <c r="AR6">
        <v>117.7</v>
      </c>
      <c r="AS6">
        <v>116.8</v>
      </c>
      <c r="AT6">
        <v>138.19999999999999</v>
      </c>
      <c r="AU6">
        <v>168</v>
      </c>
      <c r="AV6">
        <v>116.2</v>
      </c>
      <c r="AW6">
        <v>120</v>
      </c>
      <c r="AX6">
        <v>150.69999999999999</v>
      </c>
      <c r="AY6">
        <v>166.7</v>
      </c>
      <c r="AZ6">
        <v>135</v>
      </c>
      <c r="BA6">
        <v>137</v>
      </c>
      <c r="BB6">
        <v>132</v>
      </c>
      <c r="BC6">
        <v>167.2</v>
      </c>
      <c r="BD6">
        <v>185.4</v>
      </c>
      <c r="BE6">
        <v>119.9</v>
      </c>
      <c r="BF6">
        <v>161.4</v>
      </c>
      <c r="BG6">
        <v>168.2</v>
      </c>
      <c r="BH6">
        <v>122.4</v>
      </c>
      <c r="BI6">
        <v>159.4</v>
      </c>
      <c r="BJ6">
        <v>129.1</v>
      </c>
      <c r="BK6">
        <v>131.19999999999999</v>
      </c>
    </row>
    <row r="7" spans="1:63" x14ac:dyDescent="0.3">
      <c r="A7" t="s">
        <v>9</v>
      </c>
      <c r="B7">
        <v>1.1000000000000001</v>
      </c>
      <c r="C7">
        <v>10.5</v>
      </c>
      <c r="D7">
        <v>7.9</v>
      </c>
      <c r="E7">
        <v>13.5</v>
      </c>
      <c r="F7">
        <v>7.4</v>
      </c>
      <c r="G7">
        <v>13.6</v>
      </c>
      <c r="H7">
        <v>95.5</v>
      </c>
      <c r="I7">
        <v>7.1</v>
      </c>
      <c r="J7">
        <v>23.6</v>
      </c>
      <c r="K7">
        <v>16.600000000000001</v>
      </c>
      <c r="L7">
        <v>1.4</v>
      </c>
      <c r="M7">
        <v>56.5</v>
      </c>
      <c r="N7">
        <v>3</v>
      </c>
      <c r="O7">
        <v>5.3</v>
      </c>
      <c r="P7">
        <v>2.9</v>
      </c>
      <c r="Q7">
        <v>0</v>
      </c>
      <c r="R7">
        <v>7.5</v>
      </c>
      <c r="S7">
        <v>29.4</v>
      </c>
      <c r="T7">
        <v>1.7</v>
      </c>
      <c r="U7">
        <v>25.3</v>
      </c>
      <c r="V7">
        <v>6.9</v>
      </c>
      <c r="W7">
        <v>14.5</v>
      </c>
      <c r="X7">
        <v>11.8</v>
      </c>
      <c r="Y7">
        <v>6.7</v>
      </c>
      <c r="Z7">
        <v>0.1</v>
      </c>
      <c r="AA7">
        <v>21.8</v>
      </c>
      <c r="AB7">
        <v>44</v>
      </c>
      <c r="AC7">
        <v>14.4</v>
      </c>
      <c r="AD7">
        <v>0.6</v>
      </c>
      <c r="AE7">
        <v>0</v>
      </c>
      <c r="AF7">
        <v>1.7</v>
      </c>
      <c r="AG7">
        <v>12.6</v>
      </c>
      <c r="AH7">
        <v>22.6</v>
      </c>
      <c r="AI7">
        <v>10.4</v>
      </c>
      <c r="AJ7">
        <v>11.3</v>
      </c>
      <c r="AK7">
        <v>2.2999999999999998</v>
      </c>
      <c r="AL7">
        <v>2.4</v>
      </c>
      <c r="AM7">
        <v>0.4</v>
      </c>
      <c r="AN7">
        <v>0.2</v>
      </c>
      <c r="AO7">
        <v>0.3</v>
      </c>
      <c r="AP7">
        <v>39.799999999999997</v>
      </c>
      <c r="AQ7">
        <v>0</v>
      </c>
      <c r="AR7">
        <v>10.6</v>
      </c>
      <c r="AS7">
        <v>3.5</v>
      </c>
      <c r="AT7">
        <v>0.4</v>
      </c>
      <c r="AU7">
        <v>44</v>
      </c>
      <c r="AV7">
        <v>17.100000000000001</v>
      </c>
      <c r="AW7">
        <v>0</v>
      </c>
      <c r="AX7">
        <v>2.6</v>
      </c>
      <c r="AY7">
        <v>23.3</v>
      </c>
      <c r="AZ7">
        <v>20.2</v>
      </c>
      <c r="BA7">
        <v>21.2</v>
      </c>
      <c r="BB7">
        <v>9.8000000000000007</v>
      </c>
      <c r="BC7">
        <v>13.9</v>
      </c>
      <c r="BD7">
        <v>6.1</v>
      </c>
      <c r="BE7">
        <v>0</v>
      </c>
      <c r="BF7">
        <v>4.9000000000000004</v>
      </c>
      <c r="BG7">
        <v>16.100000000000001</v>
      </c>
      <c r="BH7">
        <v>2</v>
      </c>
      <c r="BI7">
        <v>0</v>
      </c>
      <c r="BJ7">
        <v>14.8</v>
      </c>
      <c r="BK7">
        <v>7.9</v>
      </c>
    </row>
    <row r="8" spans="1:63" x14ac:dyDescent="0.3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 x14ac:dyDescent="0.3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 x14ac:dyDescent="0.3">
      <c r="A10" t="s">
        <v>12</v>
      </c>
      <c r="B10">
        <v>2206.8000000000002</v>
      </c>
      <c r="C10">
        <v>1937.9</v>
      </c>
      <c r="D10">
        <v>1940.8</v>
      </c>
      <c r="E10">
        <v>1953.4</v>
      </c>
      <c r="F10">
        <v>1872.2</v>
      </c>
      <c r="G10">
        <v>2188.1999999999998</v>
      </c>
      <c r="H10">
        <v>2078.9</v>
      </c>
      <c r="I10">
        <v>1910.1</v>
      </c>
      <c r="J10">
        <v>1933.5</v>
      </c>
      <c r="K10">
        <v>2044.8</v>
      </c>
      <c r="L10">
        <v>2006.6</v>
      </c>
      <c r="M10">
        <v>2052.1</v>
      </c>
      <c r="N10">
        <v>2061.1</v>
      </c>
      <c r="O10">
        <v>1861.4</v>
      </c>
      <c r="P10">
        <v>1939.4</v>
      </c>
      <c r="Q10">
        <v>1803.2</v>
      </c>
      <c r="R10">
        <v>1882.5</v>
      </c>
      <c r="S10">
        <v>1943</v>
      </c>
      <c r="T10">
        <v>2084.9</v>
      </c>
      <c r="U10">
        <v>2138.1999999999998</v>
      </c>
      <c r="V10">
        <v>2000.3</v>
      </c>
      <c r="W10">
        <v>2072.8000000000002</v>
      </c>
      <c r="X10">
        <v>1773.5</v>
      </c>
      <c r="Y10">
        <v>1907.2</v>
      </c>
      <c r="Z10">
        <v>1862.6</v>
      </c>
      <c r="AA10">
        <v>1990.5</v>
      </c>
      <c r="AB10">
        <v>1944.2</v>
      </c>
      <c r="AC10">
        <v>2143.4</v>
      </c>
      <c r="AD10">
        <v>1988.2</v>
      </c>
      <c r="AE10">
        <v>1765.4</v>
      </c>
      <c r="AF10">
        <v>1689.3</v>
      </c>
      <c r="AG10">
        <v>1935.4</v>
      </c>
      <c r="AH10">
        <v>2066.6999999999998</v>
      </c>
      <c r="AI10">
        <v>1893</v>
      </c>
      <c r="AJ10">
        <v>1785.8</v>
      </c>
      <c r="AK10">
        <v>1872.9</v>
      </c>
      <c r="AL10">
        <v>2133.6</v>
      </c>
      <c r="AM10">
        <v>1726.4</v>
      </c>
      <c r="AN10">
        <v>1921.3</v>
      </c>
      <c r="AO10">
        <v>1937.9</v>
      </c>
      <c r="AP10">
        <v>1713.7</v>
      </c>
      <c r="AQ10">
        <v>1961.9</v>
      </c>
      <c r="AR10">
        <v>1838.6</v>
      </c>
      <c r="AS10">
        <v>1964.6</v>
      </c>
      <c r="AT10">
        <v>1925.6</v>
      </c>
      <c r="AU10">
        <v>1754.5</v>
      </c>
      <c r="AV10">
        <v>1760.1</v>
      </c>
      <c r="AW10">
        <v>1775.1</v>
      </c>
      <c r="AX10">
        <v>1954</v>
      </c>
      <c r="AY10">
        <v>1962.4</v>
      </c>
      <c r="AZ10">
        <v>2151.8000000000002</v>
      </c>
      <c r="BA10">
        <v>1750.2</v>
      </c>
      <c r="BB10">
        <v>2003.5</v>
      </c>
      <c r="BC10">
        <v>1915.3</v>
      </c>
      <c r="BD10">
        <v>1664.4</v>
      </c>
      <c r="BE10">
        <v>1719.6</v>
      </c>
      <c r="BF10">
        <v>1689.9</v>
      </c>
      <c r="BG10">
        <v>1840.9</v>
      </c>
      <c r="BH10">
        <v>1859.3</v>
      </c>
      <c r="BI10">
        <v>1864.1</v>
      </c>
      <c r="BJ10">
        <v>1700</v>
      </c>
      <c r="BK10">
        <v>1823.1</v>
      </c>
    </row>
    <row r="11" spans="1:63" x14ac:dyDescent="0.3">
      <c r="A11" t="s">
        <v>13</v>
      </c>
      <c r="B11">
        <v>101.1</v>
      </c>
      <c r="C11">
        <v>101.1</v>
      </c>
      <c r="D11">
        <v>101.1</v>
      </c>
      <c r="E11">
        <v>101.1</v>
      </c>
      <c r="F11">
        <v>101.1</v>
      </c>
      <c r="G11">
        <v>101.1</v>
      </c>
      <c r="H11">
        <v>101.1</v>
      </c>
      <c r="I11">
        <v>101.1</v>
      </c>
      <c r="J11">
        <v>101.1</v>
      </c>
      <c r="K11">
        <v>101.1</v>
      </c>
      <c r="L11">
        <v>101.1</v>
      </c>
      <c r="M11">
        <v>101.1</v>
      </c>
      <c r="N11">
        <v>101.1</v>
      </c>
      <c r="O11">
        <v>101.1</v>
      </c>
      <c r="P11">
        <v>101.1</v>
      </c>
      <c r="Q11">
        <v>101.1</v>
      </c>
      <c r="R11">
        <v>101.1</v>
      </c>
      <c r="S11">
        <v>101.1</v>
      </c>
      <c r="T11">
        <v>101.1</v>
      </c>
      <c r="U11">
        <v>101.1</v>
      </c>
      <c r="V11">
        <v>101.1</v>
      </c>
      <c r="W11">
        <v>101.1</v>
      </c>
      <c r="X11">
        <v>101.1</v>
      </c>
      <c r="Y11">
        <v>101.1</v>
      </c>
      <c r="Z11">
        <v>101.1</v>
      </c>
      <c r="AA11">
        <v>101.1</v>
      </c>
      <c r="AB11">
        <v>101.1</v>
      </c>
      <c r="AC11">
        <v>101.1</v>
      </c>
      <c r="AD11">
        <v>101.1</v>
      </c>
      <c r="AE11">
        <v>101.1</v>
      </c>
      <c r="AF11">
        <v>101.1</v>
      </c>
      <c r="AG11">
        <v>101.1</v>
      </c>
      <c r="AH11">
        <v>101.1</v>
      </c>
      <c r="AI11">
        <v>101.1</v>
      </c>
      <c r="AJ11">
        <v>101.1</v>
      </c>
      <c r="AK11">
        <v>101.1</v>
      </c>
      <c r="AL11">
        <v>101.1</v>
      </c>
      <c r="AM11">
        <v>101.1</v>
      </c>
      <c r="AN11">
        <v>101.1</v>
      </c>
      <c r="AO11">
        <v>101.1</v>
      </c>
      <c r="AP11">
        <v>101.1</v>
      </c>
      <c r="AQ11">
        <v>101.1</v>
      </c>
      <c r="AR11">
        <v>101.1</v>
      </c>
      <c r="AS11">
        <v>101.1</v>
      </c>
      <c r="AT11">
        <v>101.1</v>
      </c>
      <c r="AU11">
        <v>101.1</v>
      </c>
      <c r="AV11">
        <v>101.1</v>
      </c>
      <c r="AW11">
        <v>101.1</v>
      </c>
      <c r="AX11">
        <v>101.1</v>
      </c>
      <c r="AY11">
        <v>101.1</v>
      </c>
      <c r="AZ11">
        <v>101.1</v>
      </c>
      <c r="BA11">
        <v>101.1</v>
      </c>
      <c r="BB11">
        <v>101.1</v>
      </c>
      <c r="BC11">
        <v>101.1</v>
      </c>
      <c r="BD11">
        <v>101.1</v>
      </c>
      <c r="BE11">
        <v>101.1</v>
      </c>
      <c r="BF11">
        <v>101.1</v>
      </c>
      <c r="BG11">
        <v>101.1</v>
      </c>
      <c r="BH11">
        <v>101.1</v>
      </c>
      <c r="BI11">
        <v>101.1</v>
      </c>
      <c r="BJ11">
        <v>101.1</v>
      </c>
      <c r="BK11">
        <v>101.1</v>
      </c>
    </row>
    <row r="12" spans="1:63" x14ac:dyDescent="0.3">
      <c r="A12" t="s">
        <v>14</v>
      </c>
      <c r="B12">
        <v>0.8</v>
      </c>
      <c r="C12">
        <v>0.8</v>
      </c>
      <c r="D12">
        <v>0.8</v>
      </c>
      <c r="E12">
        <v>0.8</v>
      </c>
      <c r="F12">
        <v>0.8</v>
      </c>
      <c r="G12">
        <v>0.8</v>
      </c>
      <c r="H12">
        <v>0.8</v>
      </c>
      <c r="I12">
        <v>0.8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</v>
      </c>
      <c r="R12">
        <v>0.8</v>
      </c>
      <c r="S12">
        <v>0.8</v>
      </c>
      <c r="T12">
        <v>0.8</v>
      </c>
      <c r="U12">
        <v>0.8</v>
      </c>
      <c r="V12">
        <v>0.8</v>
      </c>
      <c r="W12">
        <v>0.8</v>
      </c>
      <c r="X12">
        <v>0.8</v>
      </c>
      <c r="Y12">
        <v>0.8</v>
      </c>
      <c r="Z12">
        <v>0.8</v>
      </c>
      <c r="AA12">
        <v>0.8</v>
      </c>
      <c r="AB12">
        <v>0.8</v>
      </c>
      <c r="AC12">
        <v>0.8</v>
      </c>
      <c r="AD12">
        <v>0.8</v>
      </c>
      <c r="AE12">
        <v>0.8</v>
      </c>
      <c r="AF12">
        <v>0.8</v>
      </c>
      <c r="AG12">
        <v>0.8</v>
      </c>
      <c r="AH12">
        <v>0.8</v>
      </c>
      <c r="AI12">
        <v>0.8</v>
      </c>
      <c r="AJ12">
        <v>0.8</v>
      </c>
      <c r="AK12">
        <v>0.8</v>
      </c>
      <c r="AL12">
        <v>0.8</v>
      </c>
      <c r="AM12">
        <v>0.8</v>
      </c>
      <c r="AN12">
        <v>0.8</v>
      </c>
      <c r="AO12">
        <v>0.8</v>
      </c>
      <c r="AP12">
        <v>0.8</v>
      </c>
      <c r="AQ12">
        <v>0.8</v>
      </c>
      <c r="AR12">
        <v>0.8</v>
      </c>
      <c r="AS12">
        <v>0.8</v>
      </c>
      <c r="AT12">
        <v>0.8</v>
      </c>
      <c r="AU12">
        <v>0.8</v>
      </c>
      <c r="AV12">
        <v>0.8</v>
      </c>
      <c r="AW12">
        <v>0.8</v>
      </c>
      <c r="AX12">
        <v>0.8</v>
      </c>
      <c r="AY12">
        <v>0.8</v>
      </c>
      <c r="AZ12">
        <v>0.8</v>
      </c>
      <c r="BA12">
        <v>0.8</v>
      </c>
      <c r="BB12">
        <v>0.8</v>
      </c>
      <c r="BC12">
        <v>0.8</v>
      </c>
      <c r="BD12">
        <v>0.8</v>
      </c>
      <c r="BE12">
        <v>0.8</v>
      </c>
      <c r="BF12">
        <v>0.8</v>
      </c>
      <c r="BG12">
        <v>0.8</v>
      </c>
      <c r="BH12">
        <v>0.8</v>
      </c>
      <c r="BI12">
        <v>0.8</v>
      </c>
      <c r="BJ12">
        <v>0.8</v>
      </c>
      <c r="BK12">
        <v>0.8</v>
      </c>
    </row>
    <row r="13" spans="1:63" x14ac:dyDescent="0.3">
      <c r="A13" t="s">
        <v>15</v>
      </c>
      <c r="B13">
        <v>3006.1</v>
      </c>
      <c r="C13">
        <v>3139</v>
      </c>
      <c r="D13">
        <v>2967.6</v>
      </c>
      <c r="E13">
        <v>3584.9</v>
      </c>
      <c r="F13">
        <v>3384.6</v>
      </c>
      <c r="G13">
        <v>2732</v>
      </c>
      <c r="H13">
        <v>2910.6</v>
      </c>
      <c r="I13">
        <v>2978.6</v>
      </c>
      <c r="J13">
        <v>3508.6</v>
      </c>
      <c r="K13">
        <v>3296.6</v>
      </c>
      <c r="L13">
        <v>2886.2</v>
      </c>
      <c r="M13">
        <v>3417.9</v>
      </c>
      <c r="N13">
        <v>2948.4</v>
      </c>
      <c r="O13">
        <v>3589.2</v>
      </c>
      <c r="P13">
        <v>2884.9</v>
      </c>
      <c r="Q13">
        <v>3631.9</v>
      </c>
      <c r="R13">
        <v>3649.9</v>
      </c>
      <c r="S13">
        <v>2992.6</v>
      </c>
      <c r="T13">
        <v>2977.6</v>
      </c>
      <c r="U13">
        <v>2992.7</v>
      </c>
      <c r="V13">
        <v>2988.3</v>
      </c>
      <c r="W13">
        <v>2822.4</v>
      </c>
      <c r="X13">
        <v>3457.4</v>
      </c>
      <c r="Y13">
        <v>2981</v>
      </c>
      <c r="Z13">
        <v>3432.9</v>
      </c>
      <c r="AA13">
        <v>3289.7</v>
      </c>
      <c r="AB13">
        <v>2860</v>
      </c>
      <c r="AC13">
        <v>3215.3</v>
      </c>
      <c r="AD13">
        <v>2757.1</v>
      </c>
      <c r="AE13">
        <v>3325.9</v>
      </c>
      <c r="AF13">
        <v>3009</v>
      </c>
      <c r="AG13">
        <v>3370.3</v>
      </c>
      <c r="AH13">
        <v>2593.4</v>
      </c>
      <c r="AI13">
        <v>3374.4</v>
      </c>
      <c r="AJ13">
        <v>2970.7</v>
      </c>
      <c r="AK13">
        <v>3261.7</v>
      </c>
      <c r="AL13">
        <v>3316</v>
      </c>
      <c r="AM13">
        <v>3644.5</v>
      </c>
      <c r="AN13">
        <v>2618.6999999999998</v>
      </c>
      <c r="AO13">
        <v>2893.9</v>
      </c>
      <c r="AP13">
        <v>3347.5</v>
      </c>
      <c r="AQ13">
        <v>3352.4</v>
      </c>
      <c r="AR13">
        <v>3365.2</v>
      </c>
      <c r="AS13">
        <v>3579.9</v>
      </c>
      <c r="AT13">
        <v>3232.3</v>
      </c>
      <c r="AU13">
        <v>3446.9</v>
      </c>
      <c r="AV13">
        <v>3697.7</v>
      </c>
      <c r="AW13">
        <v>3128.9</v>
      </c>
      <c r="AX13">
        <v>2838.1</v>
      </c>
      <c r="AY13">
        <v>3104.7</v>
      </c>
      <c r="AZ13">
        <v>3718.1</v>
      </c>
      <c r="BA13">
        <v>3108.1</v>
      </c>
      <c r="BB13">
        <v>3179.1</v>
      </c>
      <c r="BC13">
        <v>3168.9</v>
      </c>
      <c r="BD13">
        <v>3232.2</v>
      </c>
      <c r="BE13">
        <v>2960</v>
      </c>
      <c r="BF13">
        <v>3661.7</v>
      </c>
      <c r="BG13">
        <v>3007</v>
      </c>
      <c r="BH13">
        <v>3512.6</v>
      </c>
      <c r="BI13">
        <v>3046.1</v>
      </c>
      <c r="BJ13">
        <v>2927.6</v>
      </c>
      <c r="BK13">
        <v>3614.7</v>
      </c>
    </row>
    <row r="14" spans="1:63" x14ac:dyDescent="0.3">
      <c r="A14" t="s">
        <v>16</v>
      </c>
      <c r="B14">
        <v>508.9</v>
      </c>
      <c r="C14">
        <v>508.9</v>
      </c>
      <c r="D14">
        <v>508.9</v>
      </c>
      <c r="E14">
        <v>508.9</v>
      </c>
      <c r="F14">
        <v>508.9</v>
      </c>
      <c r="G14">
        <v>508.9</v>
      </c>
      <c r="H14">
        <v>508.9</v>
      </c>
      <c r="I14">
        <v>504.2</v>
      </c>
      <c r="J14">
        <v>508.9</v>
      </c>
      <c r="K14">
        <v>508.9</v>
      </c>
      <c r="L14">
        <v>508.9</v>
      </c>
      <c r="M14">
        <v>508.9</v>
      </c>
      <c r="N14">
        <v>508.9</v>
      </c>
      <c r="O14">
        <v>508.9</v>
      </c>
      <c r="P14">
        <v>508.9</v>
      </c>
      <c r="Q14">
        <v>508.9</v>
      </c>
      <c r="R14">
        <v>508.9</v>
      </c>
      <c r="S14">
        <v>508.9</v>
      </c>
      <c r="T14">
        <v>508.9</v>
      </c>
      <c r="U14">
        <v>508.9</v>
      </c>
      <c r="V14">
        <v>508.9</v>
      </c>
      <c r="W14">
        <v>508.9</v>
      </c>
      <c r="X14">
        <v>508.9</v>
      </c>
      <c r="Y14">
        <v>504.2</v>
      </c>
      <c r="Z14">
        <v>508.9</v>
      </c>
      <c r="AA14">
        <v>508.9</v>
      </c>
      <c r="AB14">
        <v>508.9</v>
      </c>
      <c r="AC14">
        <v>508.9</v>
      </c>
      <c r="AD14">
        <v>508.9</v>
      </c>
      <c r="AE14">
        <v>508.9</v>
      </c>
      <c r="AF14">
        <v>508.9</v>
      </c>
      <c r="AG14">
        <v>508.9</v>
      </c>
      <c r="AH14">
        <v>508.9</v>
      </c>
      <c r="AI14">
        <v>508.9</v>
      </c>
      <c r="AJ14">
        <v>508.9</v>
      </c>
      <c r="AK14">
        <v>508.9</v>
      </c>
      <c r="AL14">
        <v>508.9</v>
      </c>
      <c r="AM14">
        <v>508.9</v>
      </c>
      <c r="AN14">
        <v>508.9</v>
      </c>
      <c r="AO14">
        <v>508.9</v>
      </c>
      <c r="AP14">
        <v>507.6</v>
      </c>
      <c r="AQ14">
        <v>508.9</v>
      </c>
      <c r="AR14">
        <v>508.9</v>
      </c>
      <c r="AS14">
        <v>508.9</v>
      </c>
      <c r="AT14">
        <v>508.9</v>
      </c>
      <c r="AU14">
        <v>508.9</v>
      </c>
      <c r="AV14">
        <v>508.9</v>
      </c>
      <c r="AW14">
        <v>508.9</v>
      </c>
      <c r="AX14">
        <v>508.9</v>
      </c>
      <c r="AY14">
        <v>508.9</v>
      </c>
      <c r="AZ14">
        <v>508.9</v>
      </c>
      <c r="BA14">
        <v>507.8</v>
      </c>
      <c r="BB14">
        <v>508.9</v>
      </c>
      <c r="BC14">
        <v>508.9</v>
      </c>
      <c r="BD14">
        <v>508.9</v>
      </c>
      <c r="BE14">
        <v>508.9</v>
      </c>
      <c r="BF14">
        <v>508.9</v>
      </c>
      <c r="BG14">
        <v>508.9</v>
      </c>
      <c r="BH14">
        <v>508.9</v>
      </c>
      <c r="BI14">
        <v>508.9</v>
      </c>
      <c r="BJ14">
        <v>508.9</v>
      </c>
      <c r="BK14">
        <v>508.9</v>
      </c>
    </row>
    <row r="15" spans="1:63" x14ac:dyDescent="0.3">
      <c r="A15" t="s">
        <v>17</v>
      </c>
      <c r="B15">
        <v>99.2</v>
      </c>
      <c r="C15">
        <v>83.7</v>
      </c>
      <c r="D15">
        <v>102.4</v>
      </c>
      <c r="E15">
        <v>75.099999999999994</v>
      </c>
      <c r="F15">
        <v>85.3</v>
      </c>
      <c r="G15">
        <v>81.2</v>
      </c>
      <c r="H15">
        <v>92.9</v>
      </c>
      <c r="I15">
        <v>104</v>
      </c>
      <c r="J15">
        <v>114.5</v>
      </c>
      <c r="K15">
        <v>84.9</v>
      </c>
      <c r="L15">
        <v>73.2</v>
      </c>
      <c r="M15">
        <v>124.1</v>
      </c>
      <c r="N15">
        <v>109.8</v>
      </c>
      <c r="O15">
        <v>151.9</v>
      </c>
      <c r="P15">
        <v>106.4</v>
      </c>
      <c r="Q15">
        <v>95.4</v>
      </c>
      <c r="R15">
        <v>111.1</v>
      </c>
      <c r="S15">
        <v>90</v>
      </c>
      <c r="T15">
        <v>78.599999999999994</v>
      </c>
      <c r="U15">
        <v>85.2</v>
      </c>
      <c r="V15">
        <v>139</v>
      </c>
      <c r="W15">
        <v>82.8</v>
      </c>
      <c r="X15">
        <v>94.2</v>
      </c>
      <c r="Y15">
        <v>80.5</v>
      </c>
      <c r="Z15">
        <v>116.8</v>
      </c>
      <c r="AA15">
        <v>95.6</v>
      </c>
      <c r="AB15">
        <v>72</v>
      </c>
      <c r="AC15">
        <v>83.7</v>
      </c>
      <c r="AD15">
        <v>86.8</v>
      </c>
      <c r="AE15">
        <v>99.3</v>
      </c>
      <c r="AF15">
        <v>129.5</v>
      </c>
      <c r="AG15">
        <v>111.7</v>
      </c>
      <c r="AH15">
        <v>132.6</v>
      </c>
      <c r="AI15">
        <v>106.4</v>
      </c>
      <c r="AJ15">
        <v>106.9</v>
      </c>
      <c r="AK15">
        <v>144</v>
      </c>
      <c r="AL15">
        <v>93.4</v>
      </c>
      <c r="AM15">
        <v>141</v>
      </c>
      <c r="AN15">
        <v>93</v>
      </c>
      <c r="AO15">
        <v>84.2</v>
      </c>
      <c r="AP15">
        <v>109</v>
      </c>
      <c r="AQ15">
        <v>116.3</v>
      </c>
      <c r="AR15">
        <v>100.3</v>
      </c>
      <c r="AS15">
        <v>90</v>
      </c>
      <c r="AT15">
        <v>117.7</v>
      </c>
      <c r="AU15">
        <v>78.599999999999994</v>
      </c>
      <c r="AV15">
        <v>112.1</v>
      </c>
      <c r="AW15">
        <v>107.4</v>
      </c>
      <c r="AX15">
        <v>120</v>
      </c>
      <c r="AY15">
        <v>77.8</v>
      </c>
      <c r="AZ15">
        <v>106.7</v>
      </c>
      <c r="BA15">
        <v>86.1</v>
      </c>
      <c r="BB15">
        <v>98</v>
      </c>
      <c r="BC15">
        <v>103.8</v>
      </c>
      <c r="BD15">
        <v>114.6</v>
      </c>
      <c r="BE15">
        <v>105.8</v>
      </c>
      <c r="BF15">
        <v>117</v>
      </c>
      <c r="BG15">
        <v>104.2</v>
      </c>
      <c r="BH15">
        <v>86.8</v>
      </c>
      <c r="BI15">
        <v>85.9</v>
      </c>
      <c r="BJ15">
        <v>111.7</v>
      </c>
      <c r="BK15">
        <v>91.1</v>
      </c>
    </row>
    <row r="16" spans="1:63" x14ac:dyDescent="0.3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 x14ac:dyDescent="0.3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 x14ac:dyDescent="0.3">
      <c r="A18" t="s">
        <v>20</v>
      </c>
      <c r="B18">
        <v>15.2</v>
      </c>
      <c r="C18">
        <v>16.2</v>
      </c>
      <c r="D18">
        <v>14.9</v>
      </c>
      <c r="E18">
        <v>19.2</v>
      </c>
      <c r="F18">
        <v>15.8</v>
      </c>
      <c r="G18">
        <v>14.6</v>
      </c>
      <c r="H18">
        <v>15.7</v>
      </c>
      <c r="I18">
        <v>15.6</v>
      </c>
      <c r="J18">
        <v>18.5</v>
      </c>
      <c r="K18">
        <v>18.399999999999999</v>
      </c>
      <c r="L18">
        <v>15.6</v>
      </c>
      <c r="M18">
        <v>16.100000000000001</v>
      </c>
      <c r="N18">
        <v>16.5</v>
      </c>
      <c r="O18">
        <v>15.5</v>
      </c>
      <c r="P18">
        <v>12.2</v>
      </c>
      <c r="Q18">
        <v>13.9</v>
      </c>
      <c r="R18">
        <v>15.8</v>
      </c>
      <c r="S18">
        <v>14.8</v>
      </c>
      <c r="T18">
        <v>15.2</v>
      </c>
      <c r="U18">
        <v>14</v>
      </c>
      <c r="V18">
        <v>13.5</v>
      </c>
      <c r="W18">
        <v>15.7</v>
      </c>
      <c r="X18">
        <v>14.8</v>
      </c>
      <c r="Y18">
        <v>14.8</v>
      </c>
      <c r="Z18">
        <v>15</v>
      </c>
      <c r="AA18">
        <v>16.5</v>
      </c>
      <c r="AB18">
        <v>15.1</v>
      </c>
      <c r="AC18">
        <v>16.899999999999999</v>
      </c>
      <c r="AD18">
        <v>13.4</v>
      </c>
      <c r="AE18">
        <v>14.5</v>
      </c>
      <c r="AF18">
        <v>11.5</v>
      </c>
      <c r="AG18">
        <v>15.2</v>
      </c>
      <c r="AH18">
        <v>14</v>
      </c>
      <c r="AI18">
        <v>14.5</v>
      </c>
      <c r="AJ18">
        <v>14.9</v>
      </c>
      <c r="AK18">
        <v>12.4</v>
      </c>
      <c r="AL18">
        <v>16.3</v>
      </c>
      <c r="AM18">
        <v>15.7</v>
      </c>
      <c r="AN18">
        <v>13.1</v>
      </c>
      <c r="AO18">
        <v>14.7</v>
      </c>
      <c r="AP18">
        <v>11.8</v>
      </c>
      <c r="AQ18">
        <v>16.399999999999999</v>
      </c>
      <c r="AR18">
        <v>12.2</v>
      </c>
      <c r="AS18">
        <v>15</v>
      </c>
      <c r="AT18">
        <v>16.7</v>
      </c>
      <c r="AU18">
        <v>17.100000000000001</v>
      </c>
      <c r="AV18">
        <v>16.899999999999999</v>
      </c>
      <c r="AW18">
        <v>13.6</v>
      </c>
      <c r="AX18">
        <v>14</v>
      </c>
      <c r="AY18">
        <v>15.2</v>
      </c>
      <c r="AZ18">
        <v>18.5</v>
      </c>
      <c r="BA18">
        <v>15.6</v>
      </c>
      <c r="BB18">
        <v>14.5</v>
      </c>
      <c r="BC18">
        <v>16.399999999999999</v>
      </c>
      <c r="BD18">
        <v>14.9</v>
      </c>
      <c r="BE18">
        <v>13.5</v>
      </c>
      <c r="BF18">
        <v>14.4</v>
      </c>
      <c r="BG18">
        <v>14.2</v>
      </c>
      <c r="BH18">
        <v>16.5</v>
      </c>
      <c r="BI18">
        <v>15.3</v>
      </c>
      <c r="BJ18">
        <v>11.9</v>
      </c>
      <c r="BK18">
        <v>16</v>
      </c>
    </row>
    <row r="20" spans="1:63" x14ac:dyDescent="0.3">
      <c r="A20" s="3" t="s">
        <v>21</v>
      </c>
      <c r="B20" s="3">
        <v>2154.6</v>
      </c>
      <c r="C20" s="3">
        <v>2154.6</v>
      </c>
      <c r="D20" s="3">
        <v>2154.6</v>
      </c>
      <c r="E20" s="3">
        <v>2154.6</v>
      </c>
      <c r="F20" s="3">
        <v>2154.6</v>
      </c>
      <c r="G20" s="3">
        <v>2154.6</v>
      </c>
      <c r="H20" s="3">
        <v>2154.6</v>
      </c>
      <c r="I20" s="3">
        <v>2154.6</v>
      </c>
      <c r="J20" s="3">
        <v>2154.6</v>
      </c>
      <c r="K20" s="3">
        <v>2154.6</v>
      </c>
      <c r="L20" s="3">
        <v>2154.6</v>
      </c>
      <c r="M20" s="3">
        <v>2154.6</v>
      </c>
      <c r="N20" s="3">
        <v>2154.6</v>
      </c>
      <c r="O20" s="3">
        <v>2154.6</v>
      </c>
      <c r="P20" s="3">
        <v>2154.6</v>
      </c>
      <c r="Q20" s="3">
        <v>2154.6</v>
      </c>
      <c r="R20" s="3">
        <v>2154.6</v>
      </c>
      <c r="S20" s="3">
        <v>2154.6</v>
      </c>
      <c r="T20" s="3">
        <v>2154.6</v>
      </c>
      <c r="U20" s="3">
        <v>2154.6</v>
      </c>
      <c r="V20" s="3">
        <v>2154.6</v>
      </c>
      <c r="W20" s="3">
        <v>2154.6</v>
      </c>
      <c r="X20" s="3">
        <v>2154.6</v>
      </c>
      <c r="Y20" s="3">
        <v>2154.6</v>
      </c>
      <c r="Z20" s="3">
        <v>2154.6</v>
      </c>
      <c r="AA20" s="3">
        <v>2154.6</v>
      </c>
      <c r="AB20" s="3">
        <v>2154.6</v>
      </c>
      <c r="AC20" s="3">
        <v>2154.6</v>
      </c>
      <c r="AD20" s="3">
        <v>2154.6</v>
      </c>
      <c r="AE20" s="3">
        <v>2154.6</v>
      </c>
      <c r="AF20" s="3">
        <v>2154.6</v>
      </c>
      <c r="AG20" s="3">
        <v>2154.6</v>
      </c>
      <c r="AH20" s="3">
        <v>2154.6</v>
      </c>
      <c r="AI20" s="3">
        <v>2154.6</v>
      </c>
      <c r="AJ20" s="3">
        <v>2154.6</v>
      </c>
      <c r="AK20" s="3">
        <v>2154.6</v>
      </c>
      <c r="AL20" s="3">
        <v>2154.6</v>
      </c>
      <c r="AM20" s="3">
        <v>2154.6</v>
      </c>
      <c r="AN20" s="3">
        <v>2154.6</v>
      </c>
      <c r="AO20" s="3">
        <v>2154.6</v>
      </c>
      <c r="AP20" s="3">
        <v>2154.6</v>
      </c>
      <c r="AQ20" s="3">
        <v>2154.6</v>
      </c>
      <c r="AR20" s="3">
        <v>2154.6</v>
      </c>
      <c r="AS20" s="3">
        <v>2154.6</v>
      </c>
      <c r="AT20" s="3">
        <v>2154.6</v>
      </c>
      <c r="AU20" s="3">
        <v>2154.6</v>
      </c>
      <c r="AV20" s="3">
        <v>2154.6</v>
      </c>
      <c r="AW20" s="3">
        <v>2154.6</v>
      </c>
      <c r="AX20" s="3">
        <v>2154.6</v>
      </c>
      <c r="AY20" s="3">
        <v>2154.6</v>
      </c>
      <c r="AZ20" s="3">
        <v>2154.6</v>
      </c>
      <c r="BA20" s="3">
        <v>2154.6</v>
      </c>
      <c r="BB20" s="3">
        <v>2154.6</v>
      </c>
      <c r="BC20" s="3">
        <v>2154.6</v>
      </c>
      <c r="BD20" s="3">
        <v>2154.6</v>
      </c>
      <c r="BE20" s="3">
        <v>2154.6</v>
      </c>
      <c r="BF20" s="3">
        <v>2154.6</v>
      </c>
      <c r="BG20" s="3">
        <v>2154.6</v>
      </c>
      <c r="BH20" s="3">
        <v>2154.6</v>
      </c>
      <c r="BI20" s="3">
        <v>2154.6</v>
      </c>
      <c r="BJ20" s="3">
        <v>2154.6</v>
      </c>
      <c r="BK20" s="3">
        <v>2154.6</v>
      </c>
    </row>
    <row r="21" spans="1:63" x14ac:dyDescent="0.3">
      <c r="A21" s="3" t="s">
        <v>22</v>
      </c>
      <c r="B21" s="3">
        <v>171.9</v>
      </c>
      <c r="C21" s="3">
        <v>278.3</v>
      </c>
      <c r="D21" s="3">
        <v>240</v>
      </c>
      <c r="E21" s="3">
        <v>265.39999999999998</v>
      </c>
      <c r="F21" s="3">
        <v>310.8</v>
      </c>
      <c r="G21" s="3">
        <v>224.4</v>
      </c>
      <c r="H21" s="3">
        <v>216.5</v>
      </c>
      <c r="I21" s="3">
        <v>264.89999999999998</v>
      </c>
      <c r="J21" s="3">
        <v>250.7</v>
      </c>
      <c r="K21" s="3">
        <v>234.6</v>
      </c>
      <c r="L21" s="3">
        <v>229.6</v>
      </c>
      <c r="M21" s="3">
        <v>275.5</v>
      </c>
      <c r="N21" s="3">
        <v>168.6</v>
      </c>
      <c r="O21" s="3">
        <v>278</v>
      </c>
      <c r="P21" s="3">
        <v>229.5</v>
      </c>
      <c r="Q21" s="3">
        <v>279</v>
      </c>
      <c r="R21" s="3">
        <v>289.89999999999998</v>
      </c>
      <c r="S21" s="3">
        <v>223.8</v>
      </c>
      <c r="T21" s="3">
        <v>230</v>
      </c>
      <c r="U21" s="3">
        <v>215.7</v>
      </c>
      <c r="V21" s="3">
        <v>226.1</v>
      </c>
      <c r="W21" s="3">
        <v>250.8</v>
      </c>
      <c r="X21" s="3">
        <v>269.7</v>
      </c>
      <c r="Y21" s="3">
        <v>254.3</v>
      </c>
      <c r="Z21" s="3">
        <v>235.7</v>
      </c>
      <c r="AA21" s="3">
        <v>294.8</v>
      </c>
      <c r="AB21" s="3">
        <v>250.3</v>
      </c>
      <c r="AC21" s="3">
        <v>254.9</v>
      </c>
      <c r="AD21" s="3">
        <v>216.7</v>
      </c>
      <c r="AE21" s="3">
        <v>319.2</v>
      </c>
      <c r="AF21" s="3">
        <v>278.2</v>
      </c>
      <c r="AG21" s="3">
        <v>322.5</v>
      </c>
      <c r="AH21" s="3">
        <v>233.1</v>
      </c>
      <c r="AI21" s="3">
        <v>301</v>
      </c>
      <c r="AJ21" s="3">
        <v>240.6</v>
      </c>
      <c r="AK21" s="3">
        <v>222.8</v>
      </c>
      <c r="AL21" s="3">
        <v>211.9</v>
      </c>
      <c r="AM21" s="3">
        <v>245.2</v>
      </c>
      <c r="AN21" s="3">
        <v>223.3</v>
      </c>
      <c r="AO21" s="3">
        <v>227.6</v>
      </c>
      <c r="AP21" s="3">
        <v>296.3</v>
      </c>
      <c r="AQ21" s="3">
        <v>226.5</v>
      </c>
      <c r="AR21" s="3">
        <v>232.7</v>
      </c>
      <c r="AS21" s="3">
        <v>299.10000000000002</v>
      </c>
      <c r="AT21" s="3">
        <v>269.89999999999998</v>
      </c>
      <c r="AU21" s="3">
        <v>300.3</v>
      </c>
      <c r="AV21" s="3">
        <v>318.3</v>
      </c>
      <c r="AW21" s="3">
        <v>264.5</v>
      </c>
      <c r="AX21" s="3">
        <v>207.4</v>
      </c>
      <c r="AY21" s="3">
        <v>230.2</v>
      </c>
      <c r="AZ21" s="3">
        <v>220.4</v>
      </c>
      <c r="BA21" s="3">
        <v>299.8</v>
      </c>
      <c r="BB21" s="3">
        <v>279.10000000000002</v>
      </c>
      <c r="BC21" s="3">
        <v>235.3</v>
      </c>
      <c r="BD21" s="3">
        <v>199.2</v>
      </c>
      <c r="BE21" s="3">
        <v>231.1</v>
      </c>
      <c r="BF21" s="3">
        <v>282.8</v>
      </c>
      <c r="BG21" s="3">
        <v>281</v>
      </c>
      <c r="BH21" s="3">
        <v>255.3</v>
      </c>
      <c r="BI21" s="3">
        <v>230.8</v>
      </c>
      <c r="BJ21" s="3">
        <v>233.3</v>
      </c>
      <c r="BK21" s="3">
        <v>261.5</v>
      </c>
    </row>
    <row r="22" spans="1:63" x14ac:dyDescent="0.3">
      <c r="A22" s="3" t="s">
        <v>23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</row>
    <row r="23" spans="1:63" x14ac:dyDescent="0.3">
      <c r="A23" s="3" t="s">
        <v>24</v>
      </c>
      <c r="B23" s="3">
        <v>843.1</v>
      </c>
      <c r="C23" s="3">
        <v>858.7</v>
      </c>
      <c r="D23" s="3">
        <v>852.8</v>
      </c>
      <c r="E23" s="3">
        <v>855.9</v>
      </c>
      <c r="F23" s="3">
        <v>889.9</v>
      </c>
      <c r="G23" s="3">
        <v>849.3</v>
      </c>
      <c r="H23" s="3">
        <v>873.5</v>
      </c>
      <c r="I23" s="3">
        <v>821.8</v>
      </c>
      <c r="J23" s="3">
        <v>889.4</v>
      </c>
      <c r="K23" s="3">
        <v>837.1</v>
      </c>
      <c r="L23" s="3">
        <v>870.7</v>
      </c>
      <c r="M23" s="3">
        <v>875.6</v>
      </c>
      <c r="N23" s="3">
        <v>849.6</v>
      </c>
      <c r="O23" s="3">
        <v>922.2</v>
      </c>
      <c r="P23" s="3">
        <v>821.9</v>
      </c>
      <c r="Q23" s="3">
        <v>880</v>
      </c>
      <c r="R23" s="3">
        <v>880.8</v>
      </c>
      <c r="S23" s="3">
        <v>855.7</v>
      </c>
      <c r="T23" s="3">
        <v>831.2</v>
      </c>
      <c r="U23" s="3">
        <v>832.5</v>
      </c>
      <c r="V23" s="3">
        <v>849.1</v>
      </c>
      <c r="W23" s="3">
        <v>845.8</v>
      </c>
      <c r="X23" s="3">
        <v>879.6</v>
      </c>
      <c r="Y23" s="3">
        <v>812</v>
      </c>
      <c r="Z23" s="3">
        <v>858.9</v>
      </c>
      <c r="AA23" s="3">
        <v>868.7</v>
      </c>
      <c r="AB23" s="3">
        <v>785.9</v>
      </c>
      <c r="AC23" s="3">
        <v>888.5</v>
      </c>
      <c r="AD23" s="3">
        <v>824.7</v>
      </c>
      <c r="AE23" s="3">
        <v>836.8</v>
      </c>
      <c r="AF23" s="3">
        <v>815.2</v>
      </c>
      <c r="AG23" s="3">
        <v>865.8</v>
      </c>
      <c r="AH23" s="3">
        <v>835.3</v>
      </c>
      <c r="AI23" s="3">
        <v>823.4</v>
      </c>
      <c r="AJ23" s="3">
        <v>832.2</v>
      </c>
      <c r="AK23" s="3">
        <v>849</v>
      </c>
      <c r="AL23" s="3">
        <v>843.9</v>
      </c>
      <c r="AM23" s="3">
        <v>907.7</v>
      </c>
      <c r="AN23" s="3">
        <v>807.2</v>
      </c>
      <c r="AO23" s="3">
        <v>814.3</v>
      </c>
      <c r="AP23" s="3">
        <v>832.5</v>
      </c>
      <c r="AQ23" s="3">
        <v>848.1</v>
      </c>
      <c r="AR23" s="3">
        <v>861</v>
      </c>
      <c r="AS23" s="3">
        <v>834.7</v>
      </c>
      <c r="AT23" s="3">
        <v>864.4</v>
      </c>
      <c r="AU23" s="3">
        <v>840.3</v>
      </c>
      <c r="AV23" s="3">
        <v>850.7</v>
      </c>
      <c r="AW23" s="3">
        <v>813.6</v>
      </c>
      <c r="AX23" s="3">
        <v>820.8</v>
      </c>
      <c r="AY23" s="3">
        <v>859.4</v>
      </c>
      <c r="AZ23" s="3">
        <v>859.4</v>
      </c>
      <c r="BA23" s="3">
        <v>833.4</v>
      </c>
      <c r="BB23" s="3">
        <v>829.3</v>
      </c>
      <c r="BC23" s="3">
        <v>832.8</v>
      </c>
      <c r="BD23" s="3">
        <v>857.9</v>
      </c>
      <c r="BE23" s="3">
        <v>814.7</v>
      </c>
      <c r="BF23" s="3">
        <v>865.5</v>
      </c>
      <c r="BG23" s="3">
        <v>834.3</v>
      </c>
      <c r="BH23" s="3">
        <v>822</v>
      </c>
      <c r="BI23" s="3">
        <v>829.9</v>
      </c>
      <c r="BJ23" s="3">
        <v>817.8</v>
      </c>
      <c r="BK23" s="3">
        <v>890.8</v>
      </c>
    </row>
    <row r="24" spans="1:63" x14ac:dyDescent="0.3">
      <c r="A24" s="3" t="s">
        <v>25</v>
      </c>
      <c r="B24" s="3">
        <v>4</v>
      </c>
      <c r="C24" s="3">
        <v>15</v>
      </c>
      <c r="D24" s="3">
        <v>8.6</v>
      </c>
      <c r="E24" s="3">
        <v>20.9</v>
      </c>
      <c r="F24" s="3">
        <v>32.1</v>
      </c>
      <c r="G24" s="3">
        <v>7.3</v>
      </c>
      <c r="H24" s="3">
        <v>25.1</v>
      </c>
      <c r="I24" s="3">
        <v>15.8</v>
      </c>
      <c r="J24" s="3">
        <v>24.5</v>
      </c>
      <c r="K24" s="3">
        <v>7.5</v>
      </c>
      <c r="L24" s="3">
        <v>22.3</v>
      </c>
      <c r="M24" s="3">
        <v>2.9</v>
      </c>
      <c r="N24" s="3">
        <v>10.6</v>
      </c>
      <c r="O24" s="3">
        <v>13</v>
      </c>
      <c r="P24" s="3">
        <v>11</v>
      </c>
      <c r="Q24" s="3">
        <v>0</v>
      </c>
      <c r="R24" s="3">
        <v>1.9</v>
      </c>
      <c r="S24" s="3">
        <v>25.8</v>
      </c>
      <c r="T24" s="3">
        <v>10.4</v>
      </c>
      <c r="U24" s="3">
        <v>6.8</v>
      </c>
      <c r="V24" s="3">
        <v>15.6</v>
      </c>
      <c r="W24" s="3">
        <v>10.1</v>
      </c>
      <c r="X24" s="3">
        <v>34.9</v>
      </c>
      <c r="Y24" s="3">
        <v>2.9</v>
      </c>
      <c r="Z24" s="3">
        <v>1.7</v>
      </c>
      <c r="AA24" s="3">
        <v>28.1</v>
      </c>
      <c r="AB24" s="3">
        <v>14.5</v>
      </c>
      <c r="AC24" s="3">
        <v>29.7</v>
      </c>
      <c r="AD24" s="3">
        <v>0</v>
      </c>
      <c r="AE24" s="3">
        <v>9.1</v>
      </c>
      <c r="AF24" s="3">
        <v>14</v>
      </c>
      <c r="AG24" s="3">
        <v>27.1</v>
      </c>
      <c r="AH24" s="3">
        <v>22.1</v>
      </c>
      <c r="AI24" s="3">
        <v>12.5</v>
      </c>
      <c r="AJ24" s="3">
        <v>17.3</v>
      </c>
      <c r="AK24" s="3">
        <v>15.3</v>
      </c>
      <c r="AL24" s="3">
        <v>24.9</v>
      </c>
      <c r="AM24" s="3">
        <v>23.4</v>
      </c>
      <c r="AN24" s="3">
        <v>18.2</v>
      </c>
      <c r="AO24" s="3">
        <v>4.4000000000000004</v>
      </c>
      <c r="AP24" s="3">
        <v>4.5999999999999996</v>
      </c>
      <c r="AQ24" s="3">
        <v>11.5</v>
      </c>
      <c r="AR24" s="3">
        <v>23.9</v>
      </c>
      <c r="AS24" s="3">
        <v>5.6</v>
      </c>
      <c r="AT24" s="3">
        <v>24.6</v>
      </c>
      <c r="AU24" s="3">
        <v>11</v>
      </c>
      <c r="AV24" s="3">
        <v>24.3</v>
      </c>
      <c r="AW24" s="3">
        <v>2.9</v>
      </c>
      <c r="AX24" s="3">
        <v>9.4</v>
      </c>
      <c r="AY24" s="3">
        <v>22.3</v>
      </c>
      <c r="AZ24" s="3">
        <v>15.4</v>
      </c>
      <c r="BA24" s="3">
        <v>12.8</v>
      </c>
      <c r="BB24" s="3">
        <v>14.5</v>
      </c>
      <c r="BC24" s="3">
        <v>17.899999999999999</v>
      </c>
      <c r="BD24" s="3">
        <v>2.2999999999999998</v>
      </c>
      <c r="BE24" s="3">
        <v>8.1</v>
      </c>
      <c r="BF24" s="3">
        <v>2.5</v>
      </c>
      <c r="BG24" s="3">
        <v>14.9</v>
      </c>
      <c r="BH24" s="3">
        <v>6.4</v>
      </c>
      <c r="BI24" s="3">
        <v>3.7</v>
      </c>
      <c r="BJ24" s="3">
        <v>9.9</v>
      </c>
      <c r="BK24" s="3">
        <v>12.3</v>
      </c>
    </row>
    <row r="25" spans="1:63" x14ac:dyDescent="0.3">
      <c r="A25" s="3" t="s">
        <v>26</v>
      </c>
      <c r="B25" s="3">
        <v>83.6</v>
      </c>
      <c r="C25" s="3">
        <v>93.5</v>
      </c>
      <c r="D25" s="3">
        <v>75.900000000000006</v>
      </c>
      <c r="E25" s="3">
        <v>97.9</v>
      </c>
      <c r="F25" s="3">
        <v>74.400000000000006</v>
      </c>
      <c r="G25" s="3">
        <v>77.3</v>
      </c>
      <c r="H25" s="3">
        <v>87</v>
      </c>
      <c r="I25" s="3">
        <v>90.2</v>
      </c>
      <c r="J25" s="3">
        <v>73.8</v>
      </c>
      <c r="K25" s="3">
        <v>81.3</v>
      </c>
      <c r="L25" s="3">
        <v>82.5</v>
      </c>
      <c r="M25" s="3">
        <v>79.7</v>
      </c>
      <c r="N25" s="3">
        <v>77.5</v>
      </c>
      <c r="O25" s="3">
        <v>78.3</v>
      </c>
      <c r="P25" s="3">
        <v>73.8</v>
      </c>
      <c r="Q25" s="3">
        <v>72.8</v>
      </c>
      <c r="R25" s="3">
        <v>84.7</v>
      </c>
      <c r="S25" s="3">
        <v>82.2</v>
      </c>
      <c r="T25" s="3">
        <v>78.8</v>
      </c>
      <c r="U25" s="3">
        <v>84</v>
      </c>
      <c r="V25" s="3">
        <v>67.900000000000006</v>
      </c>
      <c r="W25" s="3">
        <v>90.4</v>
      </c>
      <c r="X25" s="3">
        <v>73.099999999999994</v>
      </c>
      <c r="Y25" s="3">
        <v>86.1</v>
      </c>
      <c r="Z25" s="3">
        <v>70.099999999999994</v>
      </c>
      <c r="AA25" s="3">
        <v>79.099999999999994</v>
      </c>
      <c r="AB25" s="3">
        <v>85</v>
      </c>
      <c r="AC25" s="3">
        <v>85</v>
      </c>
      <c r="AD25" s="3">
        <v>85.5</v>
      </c>
      <c r="AE25" s="3">
        <v>84.3</v>
      </c>
      <c r="AF25" s="3">
        <v>75.599999999999994</v>
      </c>
      <c r="AG25" s="3">
        <v>85.7</v>
      </c>
      <c r="AH25" s="3">
        <v>80.099999999999994</v>
      </c>
      <c r="AI25" s="3">
        <v>87.4</v>
      </c>
      <c r="AJ25" s="3">
        <v>85.6</v>
      </c>
      <c r="AK25" s="3">
        <v>87.1</v>
      </c>
      <c r="AL25" s="3">
        <v>80</v>
      </c>
      <c r="AM25" s="3">
        <v>86.7</v>
      </c>
      <c r="AN25" s="3">
        <v>91.1</v>
      </c>
      <c r="AO25" s="3">
        <v>88</v>
      </c>
      <c r="AP25" s="3">
        <v>86.9</v>
      </c>
      <c r="AQ25" s="3">
        <v>80.400000000000006</v>
      </c>
      <c r="AR25" s="3">
        <v>75.400000000000006</v>
      </c>
      <c r="AS25" s="3">
        <v>88.5</v>
      </c>
      <c r="AT25" s="3">
        <v>81.2</v>
      </c>
      <c r="AU25" s="3">
        <v>98</v>
      </c>
      <c r="AV25" s="3">
        <v>94.1</v>
      </c>
      <c r="AW25" s="3">
        <v>70</v>
      </c>
      <c r="AX25" s="3">
        <v>76.599999999999994</v>
      </c>
      <c r="AY25" s="3">
        <v>99.5</v>
      </c>
      <c r="AZ25" s="3">
        <v>104.8</v>
      </c>
      <c r="BA25" s="3">
        <v>79.7</v>
      </c>
      <c r="BB25" s="3">
        <v>77.3</v>
      </c>
      <c r="BC25" s="3">
        <v>78.099999999999994</v>
      </c>
      <c r="BD25" s="3">
        <v>68.7</v>
      </c>
      <c r="BE25" s="3">
        <v>73.599999999999994</v>
      </c>
      <c r="BF25" s="3">
        <v>76</v>
      </c>
      <c r="BG25" s="3">
        <v>80.7</v>
      </c>
      <c r="BH25" s="3">
        <v>87.2</v>
      </c>
      <c r="BI25" s="3">
        <v>71.7</v>
      </c>
      <c r="BJ25" s="3">
        <v>69.7</v>
      </c>
      <c r="BK25" s="3">
        <v>81.3</v>
      </c>
    </row>
    <row r="26" spans="1:63" x14ac:dyDescent="0.3">
      <c r="A26" s="3" t="s">
        <v>27</v>
      </c>
      <c r="B26" s="3">
        <v>70.8</v>
      </c>
      <c r="C26" s="3">
        <v>83.8</v>
      </c>
      <c r="D26" s="3">
        <v>65</v>
      </c>
      <c r="E26" s="3">
        <v>83.5</v>
      </c>
      <c r="F26" s="3">
        <v>64</v>
      </c>
      <c r="G26" s="3">
        <v>65.099999999999994</v>
      </c>
      <c r="H26" s="3">
        <v>75.2</v>
      </c>
      <c r="I26" s="3">
        <v>77</v>
      </c>
      <c r="J26" s="3">
        <v>60.9</v>
      </c>
      <c r="K26" s="3">
        <v>73.599999999999994</v>
      </c>
      <c r="L26" s="3">
        <v>72.099999999999994</v>
      </c>
      <c r="M26" s="3">
        <v>68.3</v>
      </c>
      <c r="N26" s="3">
        <v>69.400000000000006</v>
      </c>
      <c r="O26" s="3">
        <v>70.599999999999994</v>
      </c>
      <c r="P26" s="3">
        <v>66.400000000000006</v>
      </c>
      <c r="Q26" s="3">
        <v>61.1</v>
      </c>
      <c r="R26" s="3">
        <v>71.5</v>
      </c>
      <c r="S26" s="3">
        <v>72.7</v>
      </c>
      <c r="T26" s="3">
        <v>67.900000000000006</v>
      </c>
      <c r="U26" s="3">
        <v>73.3</v>
      </c>
      <c r="V26" s="3">
        <v>60.1</v>
      </c>
      <c r="W26" s="3">
        <v>83.6</v>
      </c>
      <c r="X26" s="3">
        <v>60.6</v>
      </c>
      <c r="Y26" s="3">
        <v>75.3</v>
      </c>
      <c r="Z26" s="3">
        <v>61.6</v>
      </c>
      <c r="AA26" s="3">
        <v>68.599999999999994</v>
      </c>
      <c r="AB26" s="3">
        <v>81.099999999999994</v>
      </c>
      <c r="AC26" s="3">
        <v>74.099999999999994</v>
      </c>
      <c r="AD26" s="3">
        <v>76.7</v>
      </c>
      <c r="AE26" s="3">
        <v>71.5</v>
      </c>
      <c r="AF26" s="3">
        <v>64.3</v>
      </c>
      <c r="AG26" s="3">
        <v>70.900000000000006</v>
      </c>
      <c r="AH26" s="3">
        <v>70.099999999999994</v>
      </c>
      <c r="AI26" s="3">
        <v>73.2</v>
      </c>
      <c r="AJ26" s="3">
        <v>74.7</v>
      </c>
      <c r="AK26" s="3">
        <v>73.7</v>
      </c>
      <c r="AL26" s="3">
        <v>66.400000000000006</v>
      </c>
      <c r="AM26" s="3">
        <v>72.5</v>
      </c>
      <c r="AN26" s="3">
        <v>77.099999999999994</v>
      </c>
      <c r="AO26" s="3">
        <v>76.400000000000006</v>
      </c>
      <c r="AP26" s="3">
        <v>80.599999999999994</v>
      </c>
      <c r="AQ26" s="3">
        <v>69.3</v>
      </c>
      <c r="AR26" s="3">
        <v>65</v>
      </c>
      <c r="AS26" s="3">
        <v>76.2</v>
      </c>
      <c r="AT26" s="3">
        <v>69.5</v>
      </c>
      <c r="AU26" s="3">
        <v>86</v>
      </c>
      <c r="AV26" s="3">
        <v>79</v>
      </c>
      <c r="AW26" s="3">
        <v>60.1</v>
      </c>
      <c r="AX26" s="3">
        <v>65.400000000000006</v>
      </c>
      <c r="AY26" s="3">
        <v>83.9</v>
      </c>
      <c r="AZ26" s="3">
        <v>90.5</v>
      </c>
      <c r="BA26" s="3">
        <v>72.900000000000006</v>
      </c>
      <c r="BB26" s="3">
        <v>67</v>
      </c>
      <c r="BC26" s="3">
        <v>64.8</v>
      </c>
      <c r="BD26" s="3">
        <v>57.9</v>
      </c>
      <c r="BE26" s="3">
        <v>62.7</v>
      </c>
      <c r="BF26" s="3">
        <v>63.9</v>
      </c>
      <c r="BG26" s="3">
        <v>67.3</v>
      </c>
      <c r="BH26" s="3">
        <v>80.599999999999994</v>
      </c>
      <c r="BI26" s="3">
        <v>61.5</v>
      </c>
      <c r="BJ26" s="3">
        <v>59.5</v>
      </c>
      <c r="BK26" s="3">
        <v>72</v>
      </c>
    </row>
    <row r="27" spans="1:63" x14ac:dyDescent="0.3">
      <c r="A27" s="3" t="s">
        <v>28</v>
      </c>
      <c r="B27" s="3">
        <v>101.4</v>
      </c>
      <c r="C27" s="3">
        <v>112.7</v>
      </c>
      <c r="D27" s="3">
        <v>90.6</v>
      </c>
      <c r="E27" s="3">
        <v>104.3</v>
      </c>
      <c r="F27" s="3">
        <v>84.6</v>
      </c>
      <c r="G27" s="3">
        <v>103.6</v>
      </c>
      <c r="H27" s="3">
        <v>104.4</v>
      </c>
      <c r="I27" s="3">
        <v>106.4</v>
      </c>
      <c r="J27" s="3">
        <v>77.900000000000006</v>
      </c>
      <c r="K27" s="3">
        <v>88</v>
      </c>
      <c r="L27" s="3">
        <v>89.9</v>
      </c>
      <c r="M27" s="3">
        <v>94.1</v>
      </c>
      <c r="N27" s="3">
        <v>102.9</v>
      </c>
      <c r="O27" s="3">
        <v>95.5</v>
      </c>
      <c r="P27" s="3">
        <v>103.4</v>
      </c>
      <c r="Q27" s="3">
        <v>91.4</v>
      </c>
      <c r="R27" s="3">
        <v>114.1</v>
      </c>
      <c r="S27" s="3">
        <v>105</v>
      </c>
      <c r="T27" s="3">
        <v>95.2</v>
      </c>
      <c r="U27" s="3">
        <v>112.8</v>
      </c>
      <c r="V27" s="3">
        <v>81.8</v>
      </c>
      <c r="W27" s="3">
        <v>111.1</v>
      </c>
      <c r="X27" s="3">
        <v>96</v>
      </c>
      <c r="Y27" s="3">
        <v>105.4</v>
      </c>
      <c r="Z27" s="3">
        <v>90.1</v>
      </c>
      <c r="AA27" s="3">
        <v>92.9</v>
      </c>
      <c r="AB27" s="3">
        <v>109.3</v>
      </c>
      <c r="AC27" s="3">
        <v>97.1</v>
      </c>
      <c r="AD27" s="3">
        <v>112.4</v>
      </c>
      <c r="AE27" s="3">
        <v>102.1</v>
      </c>
      <c r="AF27" s="3">
        <v>100.5</v>
      </c>
      <c r="AG27" s="3">
        <v>116.3</v>
      </c>
      <c r="AH27" s="3">
        <v>113.4</v>
      </c>
      <c r="AI27" s="3">
        <v>103.1</v>
      </c>
      <c r="AJ27" s="3">
        <v>105.6</v>
      </c>
      <c r="AK27" s="3">
        <v>111</v>
      </c>
      <c r="AL27" s="3">
        <v>100</v>
      </c>
      <c r="AM27" s="3">
        <v>108.4</v>
      </c>
      <c r="AN27" s="3">
        <v>99.2</v>
      </c>
      <c r="AO27" s="3">
        <v>108.9</v>
      </c>
      <c r="AP27" s="3">
        <v>116.1</v>
      </c>
      <c r="AQ27" s="3">
        <v>92.9</v>
      </c>
      <c r="AR27" s="3">
        <v>92.3</v>
      </c>
      <c r="AS27" s="3">
        <v>112.7</v>
      </c>
      <c r="AT27" s="3">
        <v>97.1</v>
      </c>
      <c r="AU27" s="3">
        <v>130.19999999999999</v>
      </c>
      <c r="AV27" s="3">
        <v>106.9</v>
      </c>
      <c r="AW27" s="3">
        <v>86.7</v>
      </c>
      <c r="AX27" s="3">
        <v>97.5</v>
      </c>
      <c r="AY27" s="3">
        <v>123.8</v>
      </c>
      <c r="AZ27" s="3">
        <v>117</v>
      </c>
      <c r="BA27" s="3">
        <v>107.5</v>
      </c>
      <c r="BB27" s="3">
        <v>99.3</v>
      </c>
      <c r="BC27" s="3">
        <v>100.8</v>
      </c>
      <c r="BD27" s="3">
        <v>94.6</v>
      </c>
      <c r="BE27" s="3">
        <v>88.1</v>
      </c>
      <c r="BF27" s="3">
        <v>97.8</v>
      </c>
      <c r="BG27" s="3">
        <v>110.3</v>
      </c>
      <c r="BH27" s="3">
        <v>117.1</v>
      </c>
      <c r="BI27" s="3">
        <v>96.8</v>
      </c>
      <c r="BJ27" s="3">
        <v>97.5</v>
      </c>
      <c r="BK27" s="3">
        <v>97.5</v>
      </c>
    </row>
    <row r="28" spans="1:63" x14ac:dyDescent="0.3">
      <c r="A28" s="3" t="s">
        <v>29</v>
      </c>
      <c r="B28" s="3">
        <v>82.7</v>
      </c>
      <c r="C28" s="3">
        <v>94.9</v>
      </c>
      <c r="D28" s="3">
        <v>70.5</v>
      </c>
      <c r="E28" s="3">
        <v>85.2</v>
      </c>
      <c r="F28" s="3">
        <v>69.099999999999994</v>
      </c>
      <c r="G28" s="3">
        <v>83.2</v>
      </c>
      <c r="H28" s="3">
        <v>82.9</v>
      </c>
      <c r="I28" s="3">
        <v>80</v>
      </c>
      <c r="J28" s="3">
        <v>64.599999999999994</v>
      </c>
      <c r="K28" s="3">
        <v>69.7</v>
      </c>
      <c r="L28" s="3">
        <v>73.8</v>
      </c>
      <c r="M28" s="3">
        <v>73.599999999999994</v>
      </c>
      <c r="N28" s="3">
        <v>86.4</v>
      </c>
      <c r="O28" s="3">
        <v>76.400000000000006</v>
      </c>
      <c r="P28" s="3">
        <v>80.8</v>
      </c>
      <c r="Q28" s="3">
        <v>73.8</v>
      </c>
      <c r="R28" s="3">
        <v>90.2</v>
      </c>
      <c r="S28" s="3">
        <v>89.6</v>
      </c>
      <c r="T28" s="3">
        <v>79.7</v>
      </c>
      <c r="U28" s="3">
        <v>88.6</v>
      </c>
      <c r="V28" s="3">
        <v>68.900000000000006</v>
      </c>
      <c r="W28" s="3">
        <v>94.1</v>
      </c>
      <c r="X28" s="3">
        <v>75.400000000000006</v>
      </c>
      <c r="Y28" s="3">
        <v>80.2</v>
      </c>
      <c r="Z28" s="3">
        <v>67.3</v>
      </c>
      <c r="AA28" s="3">
        <v>80.900000000000006</v>
      </c>
      <c r="AB28" s="3">
        <v>83.7</v>
      </c>
      <c r="AC28" s="3">
        <v>75.2</v>
      </c>
      <c r="AD28" s="3">
        <v>82.8</v>
      </c>
      <c r="AE28" s="3">
        <v>82.6</v>
      </c>
      <c r="AF28" s="3">
        <v>77.5</v>
      </c>
      <c r="AG28" s="3">
        <v>91.1</v>
      </c>
      <c r="AH28" s="3">
        <v>91.1</v>
      </c>
      <c r="AI28" s="3">
        <v>83</v>
      </c>
      <c r="AJ28" s="3">
        <v>88.8</v>
      </c>
      <c r="AK28" s="3">
        <v>85.1</v>
      </c>
      <c r="AL28" s="3">
        <v>78.5</v>
      </c>
      <c r="AM28" s="3">
        <v>85.3</v>
      </c>
      <c r="AN28" s="3">
        <v>76.099999999999994</v>
      </c>
      <c r="AO28" s="3">
        <v>90.4</v>
      </c>
      <c r="AP28" s="3">
        <v>88.8</v>
      </c>
      <c r="AQ28" s="3">
        <v>74.7</v>
      </c>
      <c r="AR28" s="3">
        <v>77.7</v>
      </c>
      <c r="AS28" s="3">
        <v>87.2</v>
      </c>
      <c r="AT28" s="3">
        <v>78.2</v>
      </c>
      <c r="AU28" s="3">
        <v>88.4</v>
      </c>
      <c r="AV28" s="3">
        <v>78.7</v>
      </c>
      <c r="AW28" s="3">
        <v>69.900000000000006</v>
      </c>
      <c r="AX28" s="3">
        <v>80.900000000000006</v>
      </c>
      <c r="AY28" s="3">
        <v>97.2</v>
      </c>
      <c r="AZ28" s="3">
        <v>89.6</v>
      </c>
      <c r="BA28" s="3">
        <v>85.1</v>
      </c>
      <c r="BB28" s="3">
        <v>83.1</v>
      </c>
      <c r="BC28" s="3">
        <v>82.2</v>
      </c>
      <c r="BD28" s="3">
        <v>75.8</v>
      </c>
      <c r="BE28" s="3">
        <v>69</v>
      </c>
      <c r="BF28" s="3">
        <v>77.8</v>
      </c>
      <c r="BG28" s="3">
        <v>81.2</v>
      </c>
      <c r="BH28" s="3">
        <v>90.7</v>
      </c>
      <c r="BI28" s="3">
        <v>77.400000000000006</v>
      </c>
      <c r="BJ28" s="3">
        <v>74.400000000000006</v>
      </c>
      <c r="BK28" s="3">
        <v>80.099999999999994</v>
      </c>
    </row>
    <row r="29" spans="1:63" x14ac:dyDescent="0.3">
      <c r="A29" s="3" t="s">
        <v>30</v>
      </c>
      <c r="B29" s="3">
        <v>39.700000000000003</v>
      </c>
      <c r="C29" s="3">
        <v>39.9</v>
      </c>
      <c r="D29" s="3">
        <v>32.9</v>
      </c>
      <c r="E29" s="3">
        <v>42.8</v>
      </c>
      <c r="F29" s="3">
        <v>33</v>
      </c>
      <c r="G29" s="3">
        <v>35.200000000000003</v>
      </c>
      <c r="H29" s="3">
        <v>37.1</v>
      </c>
      <c r="I29" s="3">
        <v>39.700000000000003</v>
      </c>
      <c r="J29" s="3">
        <v>36.6</v>
      </c>
      <c r="K29" s="3">
        <v>38.5</v>
      </c>
      <c r="L29" s="3">
        <v>37.1</v>
      </c>
      <c r="M29" s="3">
        <v>36.200000000000003</v>
      </c>
      <c r="N29" s="3">
        <v>35.4</v>
      </c>
      <c r="O29" s="3">
        <v>36.5</v>
      </c>
      <c r="P29" s="3">
        <v>33.5</v>
      </c>
      <c r="Q29" s="3">
        <v>32.4</v>
      </c>
      <c r="R29" s="3">
        <v>38.700000000000003</v>
      </c>
      <c r="S29" s="3">
        <v>36.700000000000003</v>
      </c>
      <c r="T29" s="3">
        <v>35.700000000000003</v>
      </c>
      <c r="U29" s="3">
        <v>38.6</v>
      </c>
      <c r="V29" s="3">
        <v>30.1</v>
      </c>
      <c r="W29" s="3">
        <v>41.9</v>
      </c>
      <c r="X29" s="3">
        <v>36.200000000000003</v>
      </c>
      <c r="Y29" s="3">
        <v>39.4</v>
      </c>
      <c r="Z29" s="3">
        <v>30</v>
      </c>
      <c r="AA29" s="3">
        <v>35.4</v>
      </c>
      <c r="AB29" s="3">
        <v>38.799999999999997</v>
      </c>
      <c r="AC29" s="3">
        <v>39.799999999999997</v>
      </c>
      <c r="AD29" s="3">
        <v>38.5</v>
      </c>
      <c r="AE29" s="3">
        <v>36.200000000000003</v>
      </c>
      <c r="AF29" s="3">
        <v>35.299999999999997</v>
      </c>
      <c r="AG29" s="3">
        <v>42.7</v>
      </c>
      <c r="AH29" s="3">
        <v>38.299999999999997</v>
      </c>
      <c r="AI29" s="3">
        <v>41.2</v>
      </c>
      <c r="AJ29" s="3">
        <v>39.6</v>
      </c>
      <c r="AK29" s="3">
        <v>39.299999999999997</v>
      </c>
      <c r="AL29" s="3">
        <v>37.5</v>
      </c>
      <c r="AM29" s="3">
        <v>41.4</v>
      </c>
      <c r="AN29" s="3">
        <v>41.5</v>
      </c>
      <c r="AO29" s="3">
        <v>39.299999999999997</v>
      </c>
      <c r="AP29" s="3">
        <v>40.9</v>
      </c>
      <c r="AQ29" s="3">
        <v>37.5</v>
      </c>
      <c r="AR29" s="3">
        <v>37.4</v>
      </c>
      <c r="AS29" s="3">
        <v>42.6</v>
      </c>
      <c r="AT29" s="3">
        <v>37.200000000000003</v>
      </c>
      <c r="AU29" s="3">
        <v>45</v>
      </c>
      <c r="AV29" s="3">
        <v>45.8</v>
      </c>
      <c r="AW29" s="3">
        <v>29.7</v>
      </c>
      <c r="AX29" s="3">
        <v>35.299999999999997</v>
      </c>
      <c r="AY29" s="3">
        <v>46.2</v>
      </c>
      <c r="AZ29" s="3">
        <v>49.7</v>
      </c>
      <c r="BA29" s="3">
        <v>38.799999999999997</v>
      </c>
      <c r="BB29" s="3">
        <v>37</v>
      </c>
      <c r="BC29" s="3">
        <v>35</v>
      </c>
      <c r="BD29" s="3">
        <v>35.4</v>
      </c>
      <c r="BE29" s="3">
        <v>33</v>
      </c>
      <c r="BF29" s="3">
        <v>37.299999999999997</v>
      </c>
      <c r="BG29" s="3">
        <v>38.1</v>
      </c>
      <c r="BH29" s="3">
        <v>40.5</v>
      </c>
      <c r="BI29" s="3">
        <v>31.9</v>
      </c>
      <c r="BJ29" s="3">
        <v>30.9</v>
      </c>
      <c r="BK29" s="3">
        <v>40.4</v>
      </c>
    </row>
    <row r="30" spans="1:63" x14ac:dyDescent="0.3">
      <c r="A30" s="3" t="s">
        <v>31</v>
      </c>
      <c r="B30" s="3">
        <v>34.9</v>
      </c>
      <c r="C30" s="3">
        <v>38.6</v>
      </c>
      <c r="D30" s="3">
        <v>28.3</v>
      </c>
      <c r="E30" s="3">
        <v>38.4</v>
      </c>
      <c r="F30" s="3">
        <v>29.8</v>
      </c>
      <c r="G30" s="3">
        <v>30</v>
      </c>
      <c r="H30" s="3">
        <v>33.299999999999997</v>
      </c>
      <c r="I30" s="3">
        <v>39.299999999999997</v>
      </c>
      <c r="J30" s="3">
        <v>29.9</v>
      </c>
      <c r="K30" s="3">
        <v>36.6</v>
      </c>
      <c r="L30" s="3">
        <v>31.8</v>
      </c>
      <c r="M30" s="3">
        <v>30.5</v>
      </c>
      <c r="N30" s="3">
        <v>34.4</v>
      </c>
      <c r="O30" s="3">
        <v>30.8</v>
      </c>
      <c r="P30" s="3">
        <v>29.8</v>
      </c>
      <c r="Q30" s="3">
        <v>27.2</v>
      </c>
      <c r="R30" s="3">
        <v>32.6</v>
      </c>
      <c r="S30" s="3">
        <v>36.299999999999997</v>
      </c>
      <c r="T30" s="3">
        <v>31.1</v>
      </c>
      <c r="U30" s="3">
        <v>37.9</v>
      </c>
      <c r="V30" s="3">
        <v>29</v>
      </c>
      <c r="W30" s="3">
        <v>41.8</v>
      </c>
      <c r="X30" s="3">
        <v>30.6</v>
      </c>
      <c r="Y30" s="3">
        <v>36.6</v>
      </c>
      <c r="Z30" s="3">
        <v>28.7</v>
      </c>
      <c r="AA30" s="3">
        <v>33</v>
      </c>
      <c r="AB30" s="3">
        <v>37.9</v>
      </c>
      <c r="AC30" s="3">
        <v>37.6</v>
      </c>
      <c r="AD30" s="3">
        <v>38.200000000000003</v>
      </c>
      <c r="AE30" s="3">
        <v>32</v>
      </c>
      <c r="AF30" s="3">
        <v>33.299999999999997</v>
      </c>
      <c r="AG30" s="3">
        <v>35.4</v>
      </c>
      <c r="AH30" s="3">
        <v>33.1</v>
      </c>
      <c r="AI30" s="3">
        <v>35.9</v>
      </c>
      <c r="AJ30" s="3">
        <v>38.200000000000003</v>
      </c>
      <c r="AK30" s="3">
        <v>34.4</v>
      </c>
      <c r="AL30" s="3">
        <v>31.1</v>
      </c>
      <c r="AM30" s="3">
        <v>35.299999999999997</v>
      </c>
      <c r="AN30" s="3">
        <v>37.299999999999997</v>
      </c>
      <c r="AO30" s="3">
        <v>37</v>
      </c>
      <c r="AP30" s="3">
        <v>44.4</v>
      </c>
      <c r="AQ30" s="3">
        <v>31.2</v>
      </c>
      <c r="AR30" s="3">
        <v>33.200000000000003</v>
      </c>
      <c r="AS30" s="3">
        <v>36.799999999999997</v>
      </c>
      <c r="AT30" s="3">
        <v>31.3</v>
      </c>
      <c r="AU30" s="3">
        <v>41.2</v>
      </c>
      <c r="AV30" s="3">
        <v>41.1</v>
      </c>
      <c r="AW30" s="3">
        <v>27.5</v>
      </c>
      <c r="AX30" s="3">
        <v>30.4</v>
      </c>
      <c r="AY30" s="3">
        <v>40.799999999999997</v>
      </c>
      <c r="AZ30" s="3">
        <v>44.5</v>
      </c>
      <c r="BA30" s="3">
        <v>36.4</v>
      </c>
      <c r="BB30" s="3">
        <v>35.9</v>
      </c>
      <c r="BC30" s="3">
        <v>29.1</v>
      </c>
      <c r="BD30" s="3">
        <v>31.7</v>
      </c>
      <c r="BE30" s="3">
        <v>28.5</v>
      </c>
      <c r="BF30" s="3">
        <v>31.1</v>
      </c>
      <c r="BG30" s="3">
        <v>32</v>
      </c>
      <c r="BH30" s="3">
        <v>37.700000000000003</v>
      </c>
      <c r="BI30" s="3">
        <v>27.2</v>
      </c>
      <c r="BJ30" s="3">
        <v>26.5</v>
      </c>
      <c r="BK30" s="3">
        <v>37.4</v>
      </c>
    </row>
    <row r="31" spans="1:63" x14ac:dyDescent="0.3">
      <c r="A31" s="3" t="s">
        <v>32</v>
      </c>
      <c r="B31" s="3">
        <v>48.8</v>
      </c>
      <c r="C31" s="3">
        <v>50.7</v>
      </c>
      <c r="D31" s="3">
        <v>43.4</v>
      </c>
      <c r="E31" s="3">
        <v>46.4</v>
      </c>
      <c r="F31" s="3">
        <v>41.9</v>
      </c>
      <c r="G31" s="3">
        <v>47</v>
      </c>
      <c r="H31" s="3">
        <v>44.9</v>
      </c>
      <c r="I31" s="3">
        <v>46.5</v>
      </c>
      <c r="J31" s="3">
        <v>50</v>
      </c>
      <c r="K31" s="3">
        <v>45.3</v>
      </c>
      <c r="L31" s="3">
        <v>45.4</v>
      </c>
      <c r="M31" s="3">
        <v>47.3</v>
      </c>
      <c r="N31" s="3">
        <v>47.8</v>
      </c>
      <c r="O31" s="3">
        <v>48.8</v>
      </c>
      <c r="P31" s="3">
        <v>46.6</v>
      </c>
      <c r="Q31" s="3">
        <v>43.9</v>
      </c>
      <c r="R31" s="3">
        <v>51.8</v>
      </c>
      <c r="S31" s="3">
        <v>47.8</v>
      </c>
      <c r="T31" s="3">
        <v>44.4</v>
      </c>
      <c r="U31" s="3">
        <v>48.7</v>
      </c>
      <c r="V31" s="3">
        <v>38.5</v>
      </c>
      <c r="W31" s="3">
        <v>49.9</v>
      </c>
      <c r="X31" s="3">
        <v>49.1</v>
      </c>
      <c r="Y31" s="3">
        <v>48.3</v>
      </c>
      <c r="Z31" s="3">
        <v>42.3</v>
      </c>
      <c r="AA31" s="3">
        <v>40.9</v>
      </c>
      <c r="AB31" s="3">
        <v>48.9</v>
      </c>
      <c r="AC31" s="3">
        <v>49.9</v>
      </c>
      <c r="AD31" s="3">
        <v>52.5</v>
      </c>
      <c r="AE31" s="3">
        <v>45.8</v>
      </c>
      <c r="AF31" s="3">
        <v>43.6</v>
      </c>
      <c r="AG31" s="3">
        <v>57.1</v>
      </c>
      <c r="AH31" s="3">
        <v>53.7</v>
      </c>
      <c r="AI31" s="3">
        <v>51.4</v>
      </c>
      <c r="AJ31" s="3">
        <v>47.4</v>
      </c>
      <c r="AK31" s="3">
        <v>49.9</v>
      </c>
      <c r="AL31" s="3">
        <v>52.5</v>
      </c>
      <c r="AM31" s="3">
        <v>46.8</v>
      </c>
      <c r="AN31" s="3">
        <v>47.9</v>
      </c>
      <c r="AO31" s="3">
        <v>50.2</v>
      </c>
      <c r="AP31" s="3">
        <v>51.3</v>
      </c>
      <c r="AQ31" s="3">
        <v>51</v>
      </c>
      <c r="AR31" s="3">
        <v>45</v>
      </c>
      <c r="AS31" s="3">
        <v>50.2</v>
      </c>
      <c r="AT31" s="3">
        <v>48.9</v>
      </c>
      <c r="AU31" s="3">
        <v>59.7</v>
      </c>
      <c r="AV31" s="3">
        <v>52.4</v>
      </c>
      <c r="AW31" s="3">
        <v>38.1</v>
      </c>
      <c r="AX31" s="3">
        <v>44.4</v>
      </c>
      <c r="AY31" s="3">
        <v>55.9</v>
      </c>
      <c r="AZ31" s="3">
        <v>56.8</v>
      </c>
      <c r="BA31" s="3">
        <v>49.3</v>
      </c>
      <c r="BB31" s="3">
        <v>47.2</v>
      </c>
      <c r="BC31" s="3">
        <v>47.2</v>
      </c>
      <c r="BD31" s="3">
        <v>46.1</v>
      </c>
      <c r="BE31" s="3">
        <v>43.7</v>
      </c>
      <c r="BF31" s="3">
        <v>48.9</v>
      </c>
      <c r="BG31" s="3">
        <v>51.5</v>
      </c>
      <c r="BH31" s="3">
        <v>53.1</v>
      </c>
      <c r="BI31" s="3">
        <v>44.5</v>
      </c>
      <c r="BJ31" s="3">
        <v>44</v>
      </c>
      <c r="BK31" s="3">
        <v>47.5</v>
      </c>
    </row>
    <row r="32" spans="1:63" x14ac:dyDescent="0.3">
      <c r="A32" s="3" t="s">
        <v>33</v>
      </c>
      <c r="B32" s="3">
        <v>36.200000000000003</v>
      </c>
      <c r="C32" s="3">
        <v>40.799999999999997</v>
      </c>
      <c r="D32" s="3">
        <v>33.1</v>
      </c>
      <c r="E32" s="3">
        <v>36.4</v>
      </c>
      <c r="F32" s="3">
        <v>31.5</v>
      </c>
      <c r="G32" s="3">
        <v>35.1</v>
      </c>
      <c r="H32" s="3">
        <v>33.5</v>
      </c>
      <c r="I32" s="3">
        <v>33.700000000000003</v>
      </c>
      <c r="J32" s="3">
        <v>36.799999999999997</v>
      </c>
      <c r="K32" s="3">
        <v>35</v>
      </c>
      <c r="L32" s="3">
        <v>36.4</v>
      </c>
      <c r="M32" s="3">
        <v>32.6</v>
      </c>
      <c r="N32" s="3">
        <v>38.700000000000003</v>
      </c>
      <c r="O32" s="3">
        <v>37.6</v>
      </c>
      <c r="P32" s="3">
        <v>34.799999999999997</v>
      </c>
      <c r="Q32" s="3">
        <v>34.1</v>
      </c>
      <c r="R32" s="3">
        <v>38.299999999999997</v>
      </c>
      <c r="S32" s="3">
        <v>37.799999999999997</v>
      </c>
      <c r="T32" s="3">
        <v>33.700000000000003</v>
      </c>
      <c r="U32" s="3">
        <v>37.4</v>
      </c>
      <c r="V32" s="3">
        <v>31.1</v>
      </c>
      <c r="W32" s="3">
        <v>41.1</v>
      </c>
      <c r="X32" s="3">
        <v>37.6</v>
      </c>
      <c r="Y32" s="3">
        <v>35.4</v>
      </c>
      <c r="Z32" s="3">
        <v>31.4</v>
      </c>
      <c r="AA32" s="3">
        <v>33.9</v>
      </c>
      <c r="AB32" s="3">
        <v>34.700000000000003</v>
      </c>
      <c r="AC32" s="3">
        <v>35.799999999999997</v>
      </c>
      <c r="AD32" s="3">
        <v>37.6</v>
      </c>
      <c r="AE32" s="3">
        <v>36.799999999999997</v>
      </c>
      <c r="AF32" s="3">
        <v>30.9</v>
      </c>
      <c r="AG32" s="3">
        <v>38.5</v>
      </c>
      <c r="AH32" s="3">
        <v>39.299999999999997</v>
      </c>
      <c r="AI32" s="3">
        <v>38.799999999999997</v>
      </c>
      <c r="AJ32" s="3">
        <v>37.4</v>
      </c>
      <c r="AK32" s="3">
        <v>36.1</v>
      </c>
      <c r="AL32" s="3">
        <v>38</v>
      </c>
      <c r="AM32" s="3">
        <v>34.299999999999997</v>
      </c>
      <c r="AN32" s="3">
        <v>33.200000000000003</v>
      </c>
      <c r="AO32" s="3">
        <v>39.6</v>
      </c>
      <c r="AP32" s="3">
        <v>38.700000000000003</v>
      </c>
      <c r="AQ32" s="3">
        <v>36.5</v>
      </c>
      <c r="AR32" s="3">
        <v>38.200000000000003</v>
      </c>
      <c r="AS32" s="3">
        <v>38.5</v>
      </c>
      <c r="AT32" s="3">
        <v>34.200000000000003</v>
      </c>
      <c r="AU32" s="3">
        <v>36.4</v>
      </c>
      <c r="AV32" s="3">
        <v>36.5</v>
      </c>
      <c r="AW32" s="3">
        <v>29</v>
      </c>
      <c r="AX32" s="3">
        <v>36.700000000000003</v>
      </c>
      <c r="AY32" s="3">
        <v>42.4</v>
      </c>
      <c r="AZ32" s="3">
        <v>41.3</v>
      </c>
      <c r="BA32" s="3">
        <v>35.299999999999997</v>
      </c>
      <c r="BB32" s="3">
        <v>41.6</v>
      </c>
      <c r="BC32" s="3">
        <v>35.5</v>
      </c>
      <c r="BD32" s="3">
        <v>35.700000000000003</v>
      </c>
      <c r="BE32" s="3">
        <v>33.5</v>
      </c>
      <c r="BF32" s="3">
        <v>34.9</v>
      </c>
      <c r="BG32" s="3">
        <v>36.299999999999997</v>
      </c>
      <c r="BH32" s="3">
        <v>42.6</v>
      </c>
      <c r="BI32" s="3">
        <v>32.6</v>
      </c>
      <c r="BJ32" s="3">
        <v>31.8</v>
      </c>
      <c r="BK32" s="3">
        <v>35.9</v>
      </c>
    </row>
    <row r="33" spans="1:63" x14ac:dyDescent="0.3">
      <c r="A33" s="3" t="s">
        <v>34</v>
      </c>
      <c r="B33" s="3">
        <v>387.3</v>
      </c>
      <c r="C33" s="3">
        <v>442.9</v>
      </c>
      <c r="D33" s="3">
        <v>424.9</v>
      </c>
      <c r="E33" s="3">
        <v>431.2</v>
      </c>
      <c r="F33" s="3">
        <v>433.2</v>
      </c>
      <c r="G33" s="3">
        <v>403.4</v>
      </c>
      <c r="H33" s="3">
        <v>422.1</v>
      </c>
      <c r="I33" s="3">
        <v>451.7</v>
      </c>
      <c r="J33" s="3">
        <v>390.4</v>
      </c>
      <c r="K33" s="3">
        <v>406.8</v>
      </c>
      <c r="L33" s="3">
        <v>415.2</v>
      </c>
      <c r="M33" s="3">
        <v>437.1</v>
      </c>
      <c r="N33" s="3">
        <v>349.6</v>
      </c>
      <c r="O33" s="3">
        <v>431.7</v>
      </c>
      <c r="P33" s="3">
        <v>377.9</v>
      </c>
      <c r="Q33" s="3">
        <v>373.3</v>
      </c>
      <c r="R33" s="3">
        <v>436.5</v>
      </c>
      <c r="S33" s="3">
        <v>376.6</v>
      </c>
      <c r="T33" s="3">
        <v>406.3</v>
      </c>
      <c r="U33" s="3">
        <v>389.3</v>
      </c>
      <c r="V33" s="3">
        <v>434.3</v>
      </c>
      <c r="W33" s="3">
        <v>450.1</v>
      </c>
      <c r="X33" s="3">
        <v>396.4</v>
      </c>
      <c r="Y33" s="3">
        <v>446.9</v>
      </c>
      <c r="Z33" s="3">
        <v>418</v>
      </c>
      <c r="AA33" s="3">
        <v>446.6</v>
      </c>
      <c r="AB33" s="3">
        <v>428.9</v>
      </c>
      <c r="AC33" s="3">
        <v>452.9</v>
      </c>
      <c r="AD33" s="3">
        <v>417.9</v>
      </c>
      <c r="AE33" s="3">
        <v>464.6</v>
      </c>
      <c r="AF33" s="3">
        <v>426</v>
      </c>
      <c r="AG33" s="3">
        <v>535.9</v>
      </c>
      <c r="AH33" s="3">
        <v>468.1</v>
      </c>
      <c r="AI33" s="3">
        <v>504.7</v>
      </c>
      <c r="AJ33" s="3">
        <v>403.7</v>
      </c>
      <c r="AK33" s="3">
        <v>432.1</v>
      </c>
      <c r="AL33" s="3">
        <v>507.7</v>
      </c>
      <c r="AM33" s="3">
        <v>431.6</v>
      </c>
      <c r="AN33" s="3">
        <v>501.8</v>
      </c>
      <c r="AO33" s="3">
        <v>460.1</v>
      </c>
      <c r="AP33" s="3">
        <v>448.8</v>
      </c>
      <c r="AQ33" s="3">
        <v>465.9</v>
      </c>
      <c r="AR33" s="3">
        <v>410.6</v>
      </c>
      <c r="AS33" s="3">
        <v>508.1</v>
      </c>
      <c r="AT33" s="3">
        <v>457</v>
      </c>
      <c r="AU33" s="3">
        <v>517</v>
      </c>
      <c r="AV33" s="3">
        <v>510.8</v>
      </c>
      <c r="AW33" s="3">
        <v>414.9</v>
      </c>
      <c r="AX33" s="3">
        <v>443.6</v>
      </c>
      <c r="AY33" s="3">
        <v>462.6</v>
      </c>
      <c r="AZ33" s="3">
        <v>477.1</v>
      </c>
      <c r="BA33" s="3">
        <v>437.9</v>
      </c>
      <c r="BB33" s="3">
        <v>556.20000000000005</v>
      </c>
      <c r="BC33" s="3">
        <v>464.7</v>
      </c>
      <c r="BD33" s="3">
        <v>328.4</v>
      </c>
      <c r="BE33" s="3">
        <v>400.6</v>
      </c>
      <c r="BF33" s="3">
        <v>421.4</v>
      </c>
      <c r="BG33" s="3">
        <v>448.4</v>
      </c>
      <c r="BH33" s="3">
        <v>407.1</v>
      </c>
      <c r="BI33" s="3">
        <v>415.6</v>
      </c>
      <c r="BJ33" s="3">
        <v>367.3</v>
      </c>
      <c r="BK33" s="3">
        <v>419.6</v>
      </c>
    </row>
    <row r="34" spans="1:63" x14ac:dyDescent="0.3">
      <c r="A34" s="3" t="s">
        <v>35</v>
      </c>
      <c r="B34" s="3">
        <v>493.1</v>
      </c>
      <c r="C34" s="3">
        <v>535.1</v>
      </c>
      <c r="D34" s="3">
        <v>501</v>
      </c>
      <c r="E34" s="3">
        <v>480.7</v>
      </c>
      <c r="F34" s="3">
        <v>412.6</v>
      </c>
      <c r="G34" s="3">
        <v>418.3</v>
      </c>
      <c r="H34" s="3">
        <v>449</v>
      </c>
      <c r="I34" s="3">
        <v>483.7</v>
      </c>
      <c r="J34" s="3">
        <v>478.1</v>
      </c>
      <c r="K34" s="3">
        <v>459.9</v>
      </c>
      <c r="L34" s="3">
        <v>441.4</v>
      </c>
      <c r="M34" s="3">
        <v>497.7</v>
      </c>
      <c r="N34" s="3">
        <v>410.9</v>
      </c>
      <c r="O34" s="3">
        <v>451</v>
      </c>
      <c r="P34" s="3">
        <v>357.2</v>
      </c>
      <c r="Q34" s="3">
        <v>440.7</v>
      </c>
      <c r="R34" s="3">
        <v>446.3</v>
      </c>
      <c r="S34" s="3">
        <v>441.6</v>
      </c>
      <c r="T34" s="3">
        <v>458.5</v>
      </c>
      <c r="U34" s="3">
        <v>461.2</v>
      </c>
      <c r="V34" s="3">
        <v>455.6</v>
      </c>
      <c r="W34" s="3">
        <v>484.7</v>
      </c>
      <c r="X34" s="3">
        <v>440.3</v>
      </c>
      <c r="Y34" s="3">
        <v>470.6</v>
      </c>
      <c r="Z34" s="3">
        <v>391.2</v>
      </c>
      <c r="AA34" s="3">
        <v>545.5</v>
      </c>
      <c r="AB34" s="3">
        <v>450.5</v>
      </c>
      <c r="AC34" s="3">
        <v>542.5</v>
      </c>
      <c r="AD34" s="3">
        <v>447.8</v>
      </c>
      <c r="AE34" s="3">
        <v>460.7</v>
      </c>
      <c r="AF34" s="3">
        <v>425.9</v>
      </c>
      <c r="AG34" s="3">
        <v>542.5</v>
      </c>
      <c r="AH34" s="3">
        <v>440.7</v>
      </c>
      <c r="AI34" s="3">
        <v>593.1</v>
      </c>
      <c r="AJ34" s="3">
        <v>440.9</v>
      </c>
      <c r="AK34" s="3">
        <v>467.9</v>
      </c>
      <c r="AL34" s="3">
        <v>587.29999999999995</v>
      </c>
      <c r="AM34" s="3">
        <v>513.6</v>
      </c>
      <c r="AN34" s="3">
        <v>523.5</v>
      </c>
      <c r="AO34" s="3">
        <v>480</v>
      </c>
      <c r="AP34" s="3">
        <v>456.9</v>
      </c>
      <c r="AQ34" s="3">
        <v>513.20000000000005</v>
      </c>
      <c r="AR34" s="3">
        <v>448.3</v>
      </c>
      <c r="AS34" s="3">
        <v>542.6</v>
      </c>
      <c r="AT34" s="3">
        <v>469.8</v>
      </c>
      <c r="AU34" s="3">
        <v>463.3</v>
      </c>
      <c r="AV34" s="3">
        <v>498.1</v>
      </c>
      <c r="AW34" s="3">
        <v>474.5</v>
      </c>
      <c r="AX34" s="3">
        <v>430.8</v>
      </c>
      <c r="AY34" s="3">
        <v>601</v>
      </c>
      <c r="AZ34" s="3">
        <v>575.70000000000005</v>
      </c>
      <c r="BA34" s="3">
        <v>434.7</v>
      </c>
      <c r="BB34" s="3">
        <v>549.70000000000005</v>
      </c>
      <c r="BC34" s="3">
        <v>465.5</v>
      </c>
      <c r="BD34" s="3">
        <v>401.6</v>
      </c>
      <c r="BE34" s="3">
        <v>432.8</v>
      </c>
      <c r="BF34" s="3">
        <v>448.2</v>
      </c>
      <c r="BG34" s="3">
        <v>497.1</v>
      </c>
      <c r="BH34" s="3">
        <v>447.3</v>
      </c>
      <c r="BI34" s="3">
        <v>384.7</v>
      </c>
      <c r="BJ34" s="3">
        <v>355.4</v>
      </c>
      <c r="BK34" s="3">
        <v>422.2</v>
      </c>
    </row>
    <row r="35" spans="1:63" x14ac:dyDescent="0.3">
      <c r="A35" s="3" t="s">
        <v>36</v>
      </c>
      <c r="B35" s="3">
        <v>54.3</v>
      </c>
      <c r="C35" s="3">
        <v>54.3</v>
      </c>
      <c r="D35" s="3">
        <v>54.3</v>
      </c>
      <c r="E35" s="3">
        <v>54.3</v>
      </c>
      <c r="F35" s="3">
        <v>54.3</v>
      </c>
      <c r="G35" s="3">
        <v>54.3</v>
      </c>
      <c r="H35" s="3">
        <v>54.3</v>
      </c>
      <c r="I35" s="3">
        <v>54.3</v>
      </c>
      <c r="J35" s="3">
        <v>54.3</v>
      </c>
      <c r="K35" s="3">
        <v>54.3</v>
      </c>
      <c r="L35" s="3">
        <v>54.3</v>
      </c>
      <c r="M35" s="3">
        <v>54.3</v>
      </c>
      <c r="N35" s="3">
        <v>54.3</v>
      </c>
      <c r="O35" s="3">
        <v>54.3</v>
      </c>
      <c r="P35" s="3">
        <v>54.3</v>
      </c>
      <c r="Q35" s="3">
        <v>54.3</v>
      </c>
      <c r="R35" s="3">
        <v>54.3</v>
      </c>
      <c r="S35" s="3">
        <v>54.3</v>
      </c>
      <c r="T35" s="3">
        <v>54.3</v>
      </c>
      <c r="U35" s="3">
        <v>54.3</v>
      </c>
      <c r="V35" s="3">
        <v>54.3</v>
      </c>
      <c r="W35" s="3">
        <v>54.3</v>
      </c>
      <c r="X35" s="3">
        <v>54.3</v>
      </c>
      <c r="Y35" s="3">
        <v>54.3</v>
      </c>
      <c r="Z35" s="3">
        <v>54.3</v>
      </c>
      <c r="AA35" s="3">
        <v>54.3</v>
      </c>
      <c r="AB35" s="3">
        <v>54.3</v>
      </c>
      <c r="AC35" s="3">
        <v>54.3</v>
      </c>
      <c r="AD35" s="3">
        <v>54.3</v>
      </c>
      <c r="AE35" s="3">
        <v>54.3</v>
      </c>
      <c r="AF35" s="3">
        <v>54.3</v>
      </c>
      <c r="AG35" s="3">
        <v>54.3</v>
      </c>
      <c r="AH35" s="3">
        <v>54.3</v>
      </c>
      <c r="AI35" s="3">
        <v>54.3</v>
      </c>
      <c r="AJ35" s="3">
        <v>54.3</v>
      </c>
      <c r="AK35" s="3">
        <v>54.3</v>
      </c>
      <c r="AL35" s="3">
        <v>54.3</v>
      </c>
      <c r="AM35" s="3">
        <v>54.3</v>
      </c>
      <c r="AN35" s="3">
        <v>54.3</v>
      </c>
      <c r="AO35" s="3">
        <v>54.3</v>
      </c>
      <c r="AP35" s="3">
        <v>54.3</v>
      </c>
      <c r="AQ35" s="3">
        <v>54.3</v>
      </c>
      <c r="AR35" s="3">
        <v>54.3</v>
      </c>
      <c r="AS35" s="3">
        <v>54.3</v>
      </c>
      <c r="AT35" s="3">
        <v>54.3</v>
      </c>
      <c r="AU35" s="3">
        <v>54.3</v>
      </c>
      <c r="AV35" s="3">
        <v>54.3</v>
      </c>
      <c r="AW35" s="3">
        <v>54.3</v>
      </c>
      <c r="AX35" s="3">
        <v>54.3</v>
      </c>
      <c r="AY35" s="3">
        <v>54.3</v>
      </c>
      <c r="AZ35" s="3">
        <v>54.3</v>
      </c>
      <c r="BA35" s="3">
        <v>54.3</v>
      </c>
      <c r="BB35" s="3">
        <v>54.3</v>
      </c>
      <c r="BC35" s="3">
        <v>54.3</v>
      </c>
      <c r="BD35" s="3">
        <v>54.3</v>
      </c>
      <c r="BE35" s="3">
        <v>54.3</v>
      </c>
      <c r="BF35" s="3">
        <v>54.3</v>
      </c>
      <c r="BG35" s="3">
        <v>54.3</v>
      </c>
      <c r="BH35" s="3">
        <v>54.3</v>
      </c>
      <c r="BI35" s="3">
        <v>54.3</v>
      </c>
      <c r="BJ35" s="3">
        <v>54.3</v>
      </c>
      <c r="BK35" s="3">
        <v>54.3</v>
      </c>
    </row>
    <row r="37" spans="1:63" x14ac:dyDescent="0.3">
      <c r="A37" s="4" t="s">
        <v>37</v>
      </c>
      <c r="B37" s="4">
        <f>SUM(B2:B18)</f>
        <v>6181.1999999999989</v>
      </c>
      <c r="C37" s="4">
        <f t="shared" ref="C37:BK37" si="0">SUM(C2:C18)</f>
        <v>5980.1999999999989</v>
      </c>
      <c r="D37" s="4">
        <f t="shared" si="0"/>
        <v>5877.6999999999989</v>
      </c>
      <c r="E37" s="4">
        <f t="shared" si="0"/>
        <v>6486.2</v>
      </c>
      <c r="F37" s="4">
        <f t="shared" si="0"/>
        <v>6199</v>
      </c>
      <c r="G37" s="4">
        <f t="shared" si="0"/>
        <v>5832.5999999999995</v>
      </c>
      <c r="H37" s="4">
        <f t="shared" si="0"/>
        <v>6061.9999999999991</v>
      </c>
      <c r="I37" s="4">
        <f t="shared" si="0"/>
        <v>5835.3</v>
      </c>
      <c r="J37" s="4">
        <f t="shared" si="0"/>
        <v>6474.0999999999995</v>
      </c>
      <c r="K37" s="4">
        <f t="shared" si="0"/>
        <v>6342.4999999999991</v>
      </c>
      <c r="L37" s="4">
        <f t="shared" si="0"/>
        <v>5818.3</v>
      </c>
      <c r="M37" s="4">
        <f t="shared" si="0"/>
        <v>6478.9000000000005</v>
      </c>
      <c r="N37" s="4">
        <f t="shared" si="0"/>
        <v>6028.7</v>
      </c>
      <c r="O37" s="4">
        <f t="shared" si="0"/>
        <v>6411.4</v>
      </c>
      <c r="P37" s="4">
        <f t="shared" si="0"/>
        <v>5761.2</v>
      </c>
      <c r="Q37" s="4">
        <f t="shared" si="0"/>
        <v>6372.2999999999993</v>
      </c>
      <c r="R37" s="4">
        <f t="shared" si="0"/>
        <v>6497.4000000000005</v>
      </c>
      <c r="S37" s="4">
        <f t="shared" si="0"/>
        <v>5915.5999999999995</v>
      </c>
      <c r="T37" s="4">
        <f t="shared" si="0"/>
        <v>5988.4000000000005</v>
      </c>
      <c r="U37" s="4">
        <f t="shared" si="0"/>
        <v>6057.5999999999995</v>
      </c>
      <c r="V37" s="4">
        <f t="shared" si="0"/>
        <v>5966.2</v>
      </c>
      <c r="W37" s="4">
        <f t="shared" si="0"/>
        <v>5819.4</v>
      </c>
      <c r="X37" s="4">
        <f t="shared" si="0"/>
        <v>6199.2999999999993</v>
      </c>
      <c r="Y37" s="4">
        <f t="shared" si="0"/>
        <v>5769.9</v>
      </c>
      <c r="Z37" s="4">
        <f t="shared" si="0"/>
        <v>6264.8</v>
      </c>
      <c r="AA37" s="4">
        <f t="shared" si="0"/>
        <v>6218.9</v>
      </c>
      <c r="AB37" s="4">
        <f t="shared" si="0"/>
        <v>5742.2000000000007</v>
      </c>
      <c r="AC37" s="4">
        <f t="shared" si="0"/>
        <v>6275.7999999999993</v>
      </c>
      <c r="AD37" s="4">
        <f t="shared" si="0"/>
        <v>5702.9</v>
      </c>
      <c r="AE37" s="4">
        <f t="shared" si="0"/>
        <v>5982.2</v>
      </c>
      <c r="AF37" s="4">
        <f t="shared" si="0"/>
        <v>5645.7999999999993</v>
      </c>
      <c r="AG37" s="4">
        <f t="shared" si="0"/>
        <v>6239.2999999999993</v>
      </c>
      <c r="AH37" s="4">
        <f t="shared" si="0"/>
        <v>5625.6</v>
      </c>
      <c r="AI37" s="4">
        <f t="shared" si="0"/>
        <v>6181.0999999999995</v>
      </c>
      <c r="AJ37" s="4">
        <f t="shared" si="0"/>
        <v>5711.5999999999985</v>
      </c>
      <c r="AK37" s="4">
        <f t="shared" si="0"/>
        <v>6088.6999999999989</v>
      </c>
      <c r="AL37" s="4">
        <f t="shared" si="0"/>
        <v>6431.4999999999991</v>
      </c>
      <c r="AM37" s="4">
        <f t="shared" si="0"/>
        <v>6351.4999999999991</v>
      </c>
      <c r="AN37" s="4">
        <f t="shared" si="0"/>
        <v>5474.5</v>
      </c>
      <c r="AO37" s="4">
        <f t="shared" si="0"/>
        <v>5742.1999999999989</v>
      </c>
      <c r="AP37" s="4">
        <f t="shared" si="0"/>
        <v>6001.0000000000009</v>
      </c>
      <c r="AQ37" s="4">
        <f t="shared" si="0"/>
        <v>6267.4</v>
      </c>
      <c r="AR37" s="4">
        <f t="shared" si="0"/>
        <v>6096.4</v>
      </c>
      <c r="AS37" s="4">
        <f t="shared" si="0"/>
        <v>6437.5</v>
      </c>
      <c r="AT37" s="4">
        <f t="shared" si="0"/>
        <v>6094.0999999999995</v>
      </c>
      <c r="AU37" s="4">
        <f t="shared" si="0"/>
        <v>6155.1</v>
      </c>
      <c r="AV37" s="4">
        <f t="shared" si="0"/>
        <v>6371.7999999999993</v>
      </c>
      <c r="AW37" s="4">
        <f t="shared" si="0"/>
        <v>5832.7999999999993</v>
      </c>
      <c r="AX37" s="4">
        <f t="shared" si="0"/>
        <v>5744.4</v>
      </c>
      <c r="AY37" s="4">
        <f t="shared" si="0"/>
        <v>6015.7999999999993</v>
      </c>
      <c r="AZ37" s="4">
        <f t="shared" si="0"/>
        <v>6824.9999999999991</v>
      </c>
      <c r="BA37" s="4">
        <f t="shared" si="0"/>
        <v>5794.7000000000016</v>
      </c>
      <c r="BB37" s="4">
        <f t="shared" si="0"/>
        <v>6083.4</v>
      </c>
      <c r="BC37" s="4">
        <f t="shared" si="0"/>
        <v>6076.0999999999995</v>
      </c>
      <c r="BD37" s="4">
        <f t="shared" si="0"/>
        <v>5937.9</v>
      </c>
      <c r="BE37" s="4">
        <f t="shared" si="0"/>
        <v>5649.2</v>
      </c>
      <c r="BF37" s="4">
        <f t="shared" si="0"/>
        <v>6337.8999999999987</v>
      </c>
      <c r="BG37" s="4">
        <f t="shared" si="0"/>
        <v>5797.2999999999993</v>
      </c>
      <c r="BH37" s="4">
        <f t="shared" si="0"/>
        <v>6262.8</v>
      </c>
      <c r="BI37" s="4">
        <f t="shared" si="0"/>
        <v>5861.4999999999991</v>
      </c>
      <c r="BJ37" s="4">
        <f t="shared" si="0"/>
        <v>5555.4999999999991</v>
      </c>
      <c r="BK37" s="4">
        <f t="shared" si="0"/>
        <v>6355.2</v>
      </c>
    </row>
    <row r="38" spans="1:63" x14ac:dyDescent="0.3">
      <c r="A38" s="4" t="s">
        <v>38</v>
      </c>
      <c r="B38" s="4">
        <f>B5+B6+B10+B13+B14</f>
        <v>5912.2</v>
      </c>
      <c r="C38" s="4">
        <f t="shared" ref="C38:BK38" si="1">C5+C6+C10+C13+C14</f>
        <v>5738.7999999999993</v>
      </c>
      <c r="D38" s="4">
        <f t="shared" si="1"/>
        <v>5585.9</v>
      </c>
      <c r="E38" s="4">
        <f t="shared" si="1"/>
        <v>6219</v>
      </c>
      <c r="F38" s="4">
        <f t="shared" si="1"/>
        <v>5941.5</v>
      </c>
      <c r="G38" s="4">
        <f t="shared" si="1"/>
        <v>5578.1999999999989</v>
      </c>
      <c r="H38" s="4">
        <f t="shared" si="1"/>
        <v>5685.2999999999993</v>
      </c>
      <c r="I38" s="4">
        <f t="shared" si="1"/>
        <v>5560.4999999999991</v>
      </c>
      <c r="J38" s="4">
        <f t="shared" si="1"/>
        <v>6120.7999999999993</v>
      </c>
      <c r="K38" s="4">
        <f t="shared" si="1"/>
        <v>6042.6999999999989</v>
      </c>
      <c r="L38" s="4">
        <f t="shared" si="1"/>
        <v>5575.6999999999989</v>
      </c>
      <c r="M38" s="4">
        <f t="shared" si="1"/>
        <v>6137.7999999999993</v>
      </c>
      <c r="N38" s="4">
        <f t="shared" si="1"/>
        <v>5700.4</v>
      </c>
      <c r="O38" s="4">
        <f t="shared" si="1"/>
        <v>6096.4</v>
      </c>
      <c r="P38" s="4">
        <f t="shared" si="1"/>
        <v>5465.7</v>
      </c>
      <c r="Q38" s="4">
        <f t="shared" si="1"/>
        <v>6083.7</v>
      </c>
      <c r="R38" s="4">
        <f t="shared" si="1"/>
        <v>6219.7</v>
      </c>
      <c r="S38" s="4">
        <f t="shared" si="1"/>
        <v>5629.1999999999989</v>
      </c>
      <c r="T38" s="4">
        <f t="shared" si="1"/>
        <v>5732.2</v>
      </c>
      <c r="U38" s="4">
        <f t="shared" si="1"/>
        <v>5791.9999999999991</v>
      </c>
      <c r="V38" s="4">
        <f t="shared" si="1"/>
        <v>5662.1</v>
      </c>
      <c r="W38" s="4">
        <f t="shared" si="1"/>
        <v>5570.7</v>
      </c>
      <c r="X38" s="4">
        <f t="shared" si="1"/>
        <v>5922.5999999999995</v>
      </c>
      <c r="Y38" s="4">
        <f t="shared" si="1"/>
        <v>5524.0999999999995</v>
      </c>
      <c r="Z38" s="4">
        <f t="shared" si="1"/>
        <v>5964.2</v>
      </c>
      <c r="AA38" s="4">
        <f t="shared" si="1"/>
        <v>5950.5</v>
      </c>
      <c r="AB38" s="4">
        <f t="shared" si="1"/>
        <v>5467.4</v>
      </c>
      <c r="AC38" s="4">
        <f t="shared" si="1"/>
        <v>6007.6</v>
      </c>
      <c r="AD38" s="4">
        <f t="shared" si="1"/>
        <v>5410</v>
      </c>
      <c r="AE38" s="4">
        <f t="shared" si="1"/>
        <v>5740.7</v>
      </c>
      <c r="AF38" s="4">
        <f t="shared" si="1"/>
        <v>5357</v>
      </c>
      <c r="AG38" s="4">
        <f t="shared" si="1"/>
        <v>5978.1</v>
      </c>
      <c r="AH38" s="4">
        <f t="shared" si="1"/>
        <v>5341.2999999999993</v>
      </c>
      <c r="AI38" s="4">
        <f t="shared" si="1"/>
        <v>5911.7999999999993</v>
      </c>
      <c r="AJ38" s="4">
        <f t="shared" si="1"/>
        <v>5444.6999999999989</v>
      </c>
      <c r="AK38" s="4">
        <f t="shared" si="1"/>
        <v>5785</v>
      </c>
      <c r="AL38" s="4">
        <f t="shared" si="1"/>
        <v>6144.6999999999989</v>
      </c>
      <c r="AM38" s="4">
        <f t="shared" si="1"/>
        <v>6063.9</v>
      </c>
      <c r="AN38" s="4">
        <f t="shared" si="1"/>
        <v>5226.5</v>
      </c>
      <c r="AO38" s="4">
        <f t="shared" si="1"/>
        <v>5492.1</v>
      </c>
      <c r="AP38" s="4">
        <f t="shared" si="1"/>
        <v>5688.7000000000007</v>
      </c>
      <c r="AQ38" s="4">
        <f t="shared" si="1"/>
        <v>5972.5</v>
      </c>
      <c r="AR38" s="4">
        <f t="shared" si="1"/>
        <v>5842.6999999999989</v>
      </c>
      <c r="AS38" s="4">
        <f t="shared" si="1"/>
        <v>6178.5</v>
      </c>
      <c r="AT38" s="4">
        <f t="shared" si="1"/>
        <v>5818.2</v>
      </c>
      <c r="AU38" s="4">
        <f t="shared" si="1"/>
        <v>5886.7999999999993</v>
      </c>
      <c r="AV38" s="4">
        <f t="shared" si="1"/>
        <v>6094.2999999999993</v>
      </c>
      <c r="AW38" s="4">
        <f t="shared" si="1"/>
        <v>5547.5</v>
      </c>
      <c r="AX38" s="4">
        <f t="shared" si="1"/>
        <v>5465</v>
      </c>
      <c r="AY38" s="4">
        <f t="shared" si="1"/>
        <v>5755.6999999999989</v>
      </c>
      <c r="AZ38" s="4">
        <f t="shared" si="1"/>
        <v>6549.4</v>
      </c>
      <c r="BA38" s="4">
        <f t="shared" si="1"/>
        <v>5541.9000000000005</v>
      </c>
      <c r="BB38" s="4">
        <f t="shared" si="1"/>
        <v>5839.7999999999993</v>
      </c>
      <c r="BC38" s="4">
        <f t="shared" si="1"/>
        <v>5799.1</v>
      </c>
      <c r="BD38" s="4">
        <f t="shared" si="1"/>
        <v>5632.4</v>
      </c>
      <c r="BE38" s="4">
        <f t="shared" si="1"/>
        <v>5347.9</v>
      </c>
      <c r="BF38" s="4">
        <f t="shared" si="1"/>
        <v>6038.2</v>
      </c>
      <c r="BG38" s="4">
        <f t="shared" si="1"/>
        <v>5539</v>
      </c>
      <c r="BH38" s="4">
        <f t="shared" si="1"/>
        <v>6014.5999999999995</v>
      </c>
      <c r="BI38" s="4">
        <f t="shared" si="1"/>
        <v>5590.9</v>
      </c>
      <c r="BJ38" s="4">
        <f t="shared" si="1"/>
        <v>5282.9</v>
      </c>
      <c r="BK38" s="4">
        <f t="shared" si="1"/>
        <v>6094.1999999999989</v>
      </c>
    </row>
    <row r="39" spans="1:63" x14ac:dyDescent="0.3">
      <c r="A39" s="4" t="s">
        <v>39</v>
      </c>
      <c r="B39" s="4">
        <f>B21+B35</f>
        <v>226.2</v>
      </c>
      <c r="C39" s="4">
        <f t="shared" ref="C39:BK39" si="2">C21+C35</f>
        <v>332.6</v>
      </c>
      <c r="D39" s="4">
        <f t="shared" si="2"/>
        <v>294.3</v>
      </c>
      <c r="E39" s="4">
        <f t="shared" si="2"/>
        <v>319.7</v>
      </c>
      <c r="F39" s="4">
        <f t="shared" si="2"/>
        <v>365.1</v>
      </c>
      <c r="G39" s="4">
        <f t="shared" si="2"/>
        <v>278.7</v>
      </c>
      <c r="H39" s="4">
        <f t="shared" si="2"/>
        <v>270.8</v>
      </c>
      <c r="I39" s="4">
        <f t="shared" si="2"/>
        <v>319.2</v>
      </c>
      <c r="J39" s="4">
        <f t="shared" si="2"/>
        <v>305</v>
      </c>
      <c r="K39" s="4">
        <f t="shared" si="2"/>
        <v>288.89999999999998</v>
      </c>
      <c r="L39" s="4">
        <f t="shared" si="2"/>
        <v>283.89999999999998</v>
      </c>
      <c r="M39" s="4">
        <f t="shared" si="2"/>
        <v>329.8</v>
      </c>
      <c r="N39" s="4">
        <f t="shared" si="2"/>
        <v>222.89999999999998</v>
      </c>
      <c r="O39" s="4">
        <f t="shared" si="2"/>
        <v>332.3</v>
      </c>
      <c r="P39" s="4">
        <f t="shared" si="2"/>
        <v>283.8</v>
      </c>
      <c r="Q39" s="4">
        <f t="shared" si="2"/>
        <v>333.3</v>
      </c>
      <c r="R39" s="4">
        <f t="shared" si="2"/>
        <v>344.2</v>
      </c>
      <c r="S39" s="4">
        <f t="shared" si="2"/>
        <v>278.10000000000002</v>
      </c>
      <c r="T39" s="4">
        <f t="shared" si="2"/>
        <v>284.3</v>
      </c>
      <c r="U39" s="4">
        <f t="shared" si="2"/>
        <v>270</v>
      </c>
      <c r="V39" s="4">
        <f t="shared" si="2"/>
        <v>280.39999999999998</v>
      </c>
      <c r="W39" s="4">
        <f t="shared" si="2"/>
        <v>305.10000000000002</v>
      </c>
      <c r="X39" s="4">
        <f t="shared" si="2"/>
        <v>324</v>
      </c>
      <c r="Y39" s="4">
        <f t="shared" si="2"/>
        <v>308.60000000000002</v>
      </c>
      <c r="Z39" s="4">
        <f t="shared" si="2"/>
        <v>290</v>
      </c>
      <c r="AA39" s="4">
        <f t="shared" si="2"/>
        <v>349.1</v>
      </c>
      <c r="AB39" s="4">
        <f t="shared" si="2"/>
        <v>304.60000000000002</v>
      </c>
      <c r="AC39" s="4">
        <f t="shared" si="2"/>
        <v>309.2</v>
      </c>
      <c r="AD39" s="4">
        <f t="shared" si="2"/>
        <v>271</v>
      </c>
      <c r="AE39" s="4">
        <f t="shared" si="2"/>
        <v>373.5</v>
      </c>
      <c r="AF39" s="4">
        <f t="shared" si="2"/>
        <v>332.5</v>
      </c>
      <c r="AG39" s="4">
        <f t="shared" si="2"/>
        <v>376.8</v>
      </c>
      <c r="AH39" s="4">
        <f t="shared" si="2"/>
        <v>287.39999999999998</v>
      </c>
      <c r="AI39" s="4">
        <f t="shared" si="2"/>
        <v>355.3</v>
      </c>
      <c r="AJ39" s="4">
        <f t="shared" si="2"/>
        <v>294.89999999999998</v>
      </c>
      <c r="AK39" s="4">
        <f t="shared" si="2"/>
        <v>277.10000000000002</v>
      </c>
      <c r="AL39" s="4">
        <f t="shared" si="2"/>
        <v>266.2</v>
      </c>
      <c r="AM39" s="4">
        <f t="shared" si="2"/>
        <v>299.5</v>
      </c>
      <c r="AN39" s="4">
        <f t="shared" si="2"/>
        <v>277.60000000000002</v>
      </c>
      <c r="AO39" s="4">
        <f t="shared" si="2"/>
        <v>281.89999999999998</v>
      </c>
      <c r="AP39" s="4">
        <f t="shared" si="2"/>
        <v>350.6</v>
      </c>
      <c r="AQ39" s="4">
        <f t="shared" si="2"/>
        <v>280.8</v>
      </c>
      <c r="AR39" s="4">
        <f t="shared" si="2"/>
        <v>287</v>
      </c>
      <c r="AS39" s="4">
        <f t="shared" si="2"/>
        <v>353.40000000000003</v>
      </c>
      <c r="AT39" s="4">
        <f t="shared" si="2"/>
        <v>324.2</v>
      </c>
      <c r="AU39" s="4">
        <f t="shared" si="2"/>
        <v>354.6</v>
      </c>
      <c r="AV39" s="4">
        <f t="shared" si="2"/>
        <v>372.6</v>
      </c>
      <c r="AW39" s="4">
        <f t="shared" si="2"/>
        <v>318.8</v>
      </c>
      <c r="AX39" s="4">
        <f t="shared" si="2"/>
        <v>261.7</v>
      </c>
      <c r="AY39" s="4">
        <f t="shared" si="2"/>
        <v>284.5</v>
      </c>
      <c r="AZ39" s="4">
        <f t="shared" si="2"/>
        <v>274.7</v>
      </c>
      <c r="BA39" s="4">
        <f t="shared" si="2"/>
        <v>354.1</v>
      </c>
      <c r="BB39" s="4">
        <f t="shared" si="2"/>
        <v>333.40000000000003</v>
      </c>
      <c r="BC39" s="4">
        <f t="shared" si="2"/>
        <v>289.60000000000002</v>
      </c>
      <c r="BD39" s="4">
        <f t="shared" si="2"/>
        <v>253.5</v>
      </c>
      <c r="BE39" s="4">
        <f t="shared" si="2"/>
        <v>285.39999999999998</v>
      </c>
      <c r="BF39" s="4">
        <f t="shared" si="2"/>
        <v>337.1</v>
      </c>
      <c r="BG39" s="4">
        <f t="shared" si="2"/>
        <v>335.3</v>
      </c>
      <c r="BH39" s="4">
        <f t="shared" si="2"/>
        <v>309.60000000000002</v>
      </c>
      <c r="BI39" s="4">
        <f t="shared" si="2"/>
        <v>285.10000000000002</v>
      </c>
      <c r="BJ39" s="4">
        <f t="shared" si="2"/>
        <v>287.60000000000002</v>
      </c>
      <c r="BK39" s="4">
        <f t="shared" si="2"/>
        <v>315.8</v>
      </c>
    </row>
    <row r="41" spans="1:63" x14ac:dyDescent="0.3">
      <c r="A41" s="2" t="s">
        <v>40</v>
      </c>
      <c r="B41" s="5">
        <f>B39/B37</f>
        <v>3.6594835954183655E-2</v>
      </c>
      <c r="C41" s="5">
        <f t="shared" ref="C41:BK41" si="3">C39/C37</f>
        <v>5.5616869001036767E-2</v>
      </c>
      <c r="D41" s="5">
        <f t="shared" si="3"/>
        <v>5.0070605849226749E-2</v>
      </c>
      <c r="E41" s="5">
        <f t="shared" si="3"/>
        <v>4.9289260275662175E-2</v>
      </c>
      <c r="F41" s="5">
        <f t="shared" si="3"/>
        <v>5.8896596225197613E-2</v>
      </c>
      <c r="G41" s="5">
        <f t="shared" si="3"/>
        <v>4.7783149881699419E-2</v>
      </c>
      <c r="H41" s="5">
        <f t="shared" si="3"/>
        <v>4.4671725503134287E-2</v>
      </c>
      <c r="I41" s="5">
        <f t="shared" si="3"/>
        <v>5.4701557760526445E-2</v>
      </c>
      <c r="J41" s="5">
        <f t="shared" si="3"/>
        <v>4.7110795322902028E-2</v>
      </c>
      <c r="K41" s="5">
        <f t="shared" si="3"/>
        <v>4.5549862041781637E-2</v>
      </c>
      <c r="L41" s="5">
        <f t="shared" si="3"/>
        <v>4.8794321365347261E-2</v>
      </c>
      <c r="M41" s="5">
        <f t="shared" si="3"/>
        <v>5.0903702789053693E-2</v>
      </c>
      <c r="N41" s="5">
        <f t="shared" si="3"/>
        <v>3.6973145122497386E-2</v>
      </c>
      <c r="O41" s="5">
        <f t="shared" si="3"/>
        <v>5.18295536076364E-2</v>
      </c>
      <c r="P41" s="5">
        <f t="shared" si="3"/>
        <v>4.9260570714434494E-2</v>
      </c>
      <c r="Q41" s="5">
        <f t="shared" si="3"/>
        <v>5.2304505437597106E-2</v>
      </c>
      <c r="R41" s="5">
        <f t="shared" si="3"/>
        <v>5.297503616831347E-2</v>
      </c>
      <c r="S41" s="5">
        <f t="shared" si="3"/>
        <v>4.7011292176617765E-2</v>
      </c>
      <c r="T41" s="5">
        <f t="shared" si="3"/>
        <v>4.7475118562554271E-2</v>
      </c>
      <c r="U41" s="5">
        <f t="shared" si="3"/>
        <v>4.4572107765451667E-2</v>
      </c>
      <c r="V41" s="5">
        <f t="shared" si="3"/>
        <v>4.6998089236029633E-2</v>
      </c>
      <c r="W41" s="5">
        <f t="shared" si="3"/>
        <v>5.2428085369625739E-2</v>
      </c>
      <c r="X41" s="5">
        <f t="shared" si="3"/>
        <v>5.2263965286403306E-2</v>
      </c>
      <c r="Y41" s="5">
        <f t="shared" si="3"/>
        <v>5.3484462469020271E-2</v>
      </c>
      <c r="Z41" s="5">
        <f t="shared" si="3"/>
        <v>4.6290384369812282E-2</v>
      </c>
      <c r="AA41" s="5">
        <f t="shared" si="3"/>
        <v>5.6135329399089877E-2</v>
      </c>
      <c r="AB41" s="5">
        <f t="shared" si="3"/>
        <v>5.3045870920553094E-2</v>
      </c>
      <c r="AC41" s="5">
        <f t="shared" si="3"/>
        <v>4.9268619140189304E-2</v>
      </c>
      <c r="AD41" s="5">
        <f t="shared" si="3"/>
        <v>4.7519682968314367E-2</v>
      </c>
      <c r="AE41" s="5">
        <f t="shared" si="3"/>
        <v>6.2435224499348067E-2</v>
      </c>
      <c r="AF41" s="5">
        <f t="shared" si="3"/>
        <v>5.8893336639625926E-2</v>
      </c>
      <c r="AG41" s="5">
        <f t="shared" si="3"/>
        <v>6.0391390059782356E-2</v>
      </c>
      <c r="AH41" s="5">
        <f t="shared" si="3"/>
        <v>5.1087883959044358E-2</v>
      </c>
      <c r="AI41" s="5">
        <f t="shared" si="3"/>
        <v>5.7481678018475681E-2</v>
      </c>
      <c r="AJ41" s="5">
        <f t="shared" si="3"/>
        <v>5.1631766930457325E-2</v>
      </c>
      <c r="AK41" s="5">
        <f t="shared" si="3"/>
        <v>4.5510535910785563E-2</v>
      </c>
      <c r="AL41" s="5">
        <f t="shared" si="3"/>
        <v>4.1390033429215586E-2</v>
      </c>
      <c r="AM41" s="5">
        <f t="shared" si="3"/>
        <v>4.7154215539636314E-2</v>
      </c>
      <c r="AN41" s="5">
        <f t="shared" si="3"/>
        <v>5.0707827198830949E-2</v>
      </c>
      <c r="AO41" s="5">
        <f t="shared" si="3"/>
        <v>4.9092682247222325E-2</v>
      </c>
      <c r="AP41" s="5">
        <f t="shared" si="3"/>
        <v>5.8423596067322107E-2</v>
      </c>
      <c r="AQ41" s="5">
        <f t="shared" si="3"/>
        <v>4.4803267702715643E-2</v>
      </c>
      <c r="AR41" s="5">
        <f t="shared" si="3"/>
        <v>4.7076963453841617E-2</v>
      </c>
      <c r="AS41" s="5">
        <f t="shared" si="3"/>
        <v>5.4897087378640783E-2</v>
      </c>
      <c r="AT41" s="5">
        <f t="shared" si="3"/>
        <v>5.3198995749987696E-2</v>
      </c>
      <c r="AU41" s="5">
        <f t="shared" si="3"/>
        <v>5.7610761807281766E-2</v>
      </c>
      <c r="AV41" s="5">
        <f t="shared" si="3"/>
        <v>5.8476411689004686E-2</v>
      </c>
      <c r="AW41" s="5">
        <f t="shared" si="3"/>
        <v>5.4656425730352495E-2</v>
      </c>
      <c r="AX41" s="5">
        <f t="shared" si="3"/>
        <v>4.555741243645986E-2</v>
      </c>
      <c r="AY41" s="5">
        <f t="shared" si="3"/>
        <v>4.7292130722430936E-2</v>
      </c>
      <c r="AZ41" s="5">
        <f t="shared" si="3"/>
        <v>4.0249084249084251E-2</v>
      </c>
      <c r="BA41" s="5">
        <f t="shared" si="3"/>
        <v>6.1107563808307577E-2</v>
      </c>
      <c r="BB41" s="5">
        <f t="shared" si="3"/>
        <v>5.4804878850642738E-2</v>
      </c>
      <c r="BC41" s="5">
        <f t="shared" si="3"/>
        <v>4.7662151709155554E-2</v>
      </c>
      <c r="BD41" s="5">
        <f t="shared" si="3"/>
        <v>4.2691860758854144E-2</v>
      </c>
      <c r="BE41" s="5">
        <f t="shared" si="3"/>
        <v>5.0520427671174678E-2</v>
      </c>
      <c r="BF41" s="5">
        <f t="shared" si="3"/>
        <v>5.3187964467725918E-2</v>
      </c>
      <c r="BG41" s="5">
        <f t="shared" si="3"/>
        <v>5.7837269073534238E-2</v>
      </c>
      <c r="BH41" s="5">
        <f t="shared" si="3"/>
        <v>4.9434757616401613E-2</v>
      </c>
      <c r="BI41" s="5">
        <f t="shared" si="3"/>
        <v>4.8639426767892187E-2</v>
      </c>
      <c r="BJ41" s="5">
        <f t="shared" si="3"/>
        <v>5.1768517685176867E-2</v>
      </c>
      <c r="BK41" s="5">
        <f t="shared" si="3"/>
        <v>4.9691591137965764E-2</v>
      </c>
    </row>
    <row r="42" spans="1:63" x14ac:dyDescent="0.3">
      <c r="A42" s="2" t="s">
        <v>41</v>
      </c>
      <c r="B42" s="5">
        <f>B20/B37</f>
        <v>0.34857309260337804</v>
      </c>
      <c r="C42" s="5">
        <f t="shared" ref="C42:BK42" si="4">C20/C37</f>
        <v>0.36028895354670415</v>
      </c>
      <c r="D42" s="5">
        <f t="shared" si="4"/>
        <v>0.36657195841910956</v>
      </c>
      <c r="E42" s="5">
        <f t="shared" si="4"/>
        <v>0.33218217137923589</v>
      </c>
      <c r="F42" s="5">
        <f t="shared" si="4"/>
        <v>0.34757218906275206</v>
      </c>
      <c r="G42" s="5">
        <f t="shared" si="4"/>
        <v>0.369406439666701</v>
      </c>
      <c r="H42" s="5">
        <f t="shared" si="4"/>
        <v>0.35542725173210166</v>
      </c>
      <c r="I42" s="5">
        <f t="shared" si="4"/>
        <v>0.3692355148835535</v>
      </c>
      <c r="J42" s="5">
        <f t="shared" si="4"/>
        <v>0.33280301509090066</v>
      </c>
      <c r="K42" s="5">
        <f t="shared" si="4"/>
        <v>0.33970831690973596</v>
      </c>
      <c r="L42" s="5">
        <f t="shared" si="4"/>
        <v>0.37031435298970489</v>
      </c>
      <c r="M42" s="5">
        <f t="shared" si="4"/>
        <v>0.33255645248421795</v>
      </c>
      <c r="N42" s="5">
        <f t="shared" si="4"/>
        <v>0.35739048219350772</v>
      </c>
      <c r="O42" s="5">
        <f t="shared" si="4"/>
        <v>0.33605764731571885</v>
      </c>
      <c r="P42" s="5">
        <f t="shared" si="4"/>
        <v>0.37398458654446992</v>
      </c>
      <c r="Q42" s="5">
        <f t="shared" si="4"/>
        <v>0.33811967421496164</v>
      </c>
      <c r="R42" s="5">
        <f t="shared" si="4"/>
        <v>0.33160956690368448</v>
      </c>
      <c r="S42" s="5">
        <f t="shared" si="4"/>
        <v>0.36422340929068903</v>
      </c>
      <c r="T42" s="5">
        <f t="shared" si="4"/>
        <v>0.35979560483601625</v>
      </c>
      <c r="U42" s="5">
        <f t="shared" si="4"/>
        <v>0.35568541996830427</v>
      </c>
      <c r="V42" s="5">
        <f t="shared" si="4"/>
        <v>0.36113439039924911</v>
      </c>
      <c r="W42" s="5">
        <f t="shared" si="4"/>
        <v>0.3702443550881534</v>
      </c>
      <c r="X42" s="5">
        <f t="shared" si="4"/>
        <v>0.34755536915458202</v>
      </c>
      <c r="Y42" s="5">
        <f t="shared" si="4"/>
        <v>0.37342068320074873</v>
      </c>
      <c r="Z42" s="5">
        <f t="shared" si="4"/>
        <v>0.3439215936661984</v>
      </c>
      <c r="AA42" s="5">
        <f t="shared" si="4"/>
        <v>0.34645998488478669</v>
      </c>
      <c r="AB42" s="5">
        <f t="shared" si="4"/>
        <v>0.37522204033297335</v>
      </c>
      <c r="AC42" s="5">
        <f t="shared" si="4"/>
        <v>0.34331878007584693</v>
      </c>
      <c r="AD42" s="5">
        <f t="shared" si="4"/>
        <v>0.37780778200564624</v>
      </c>
      <c r="AE42" s="5">
        <f t="shared" si="4"/>
        <v>0.36016849988298621</v>
      </c>
      <c r="AF42" s="5">
        <f t="shared" si="4"/>
        <v>0.381628821424776</v>
      </c>
      <c r="AG42" s="5">
        <f t="shared" si="4"/>
        <v>0.34532720016668539</v>
      </c>
      <c r="AH42" s="5">
        <f t="shared" si="4"/>
        <v>0.38299914675767915</v>
      </c>
      <c r="AI42" s="5">
        <f t="shared" si="4"/>
        <v>0.34857873194091671</v>
      </c>
      <c r="AJ42" s="5">
        <f t="shared" si="4"/>
        <v>0.37723229918061496</v>
      </c>
      <c r="AK42" s="5">
        <f t="shared" si="4"/>
        <v>0.35386864191042428</v>
      </c>
      <c r="AL42" s="5">
        <f t="shared" si="4"/>
        <v>0.33500738552437226</v>
      </c>
      <c r="AM42" s="5">
        <f t="shared" si="4"/>
        <v>0.33922695426277261</v>
      </c>
      <c r="AN42" s="5">
        <f t="shared" si="4"/>
        <v>0.3935701890583615</v>
      </c>
      <c r="AO42" s="5">
        <f t="shared" si="4"/>
        <v>0.37522204033297346</v>
      </c>
      <c r="AP42" s="5">
        <f t="shared" si="4"/>
        <v>0.35904015997333771</v>
      </c>
      <c r="AQ42" s="5">
        <f t="shared" si="4"/>
        <v>0.34377891948814499</v>
      </c>
      <c r="AR42" s="5">
        <f t="shared" si="4"/>
        <v>0.3534216914900597</v>
      </c>
      <c r="AS42" s="5">
        <f t="shared" si="4"/>
        <v>0.33469514563106795</v>
      </c>
      <c r="AT42" s="5">
        <f t="shared" si="4"/>
        <v>0.35355507786219459</v>
      </c>
      <c r="AU42" s="5">
        <f t="shared" si="4"/>
        <v>0.35005117707267142</v>
      </c>
      <c r="AV42" s="5">
        <f t="shared" si="4"/>
        <v>0.33814620672337492</v>
      </c>
      <c r="AW42" s="5">
        <f t="shared" si="4"/>
        <v>0.36939377314497329</v>
      </c>
      <c r="AX42" s="5">
        <f t="shared" si="4"/>
        <v>0.3750783371631502</v>
      </c>
      <c r="AY42" s="5">
        <f t="shared" si="4"/>
        <v>0.35815685361880384</v>
      </c>
      <c r="AZ42" s="5">
        <f t="shared" si="4"/>
        <v>0.31569230769230772</v>
      </c>
      <c r="BA42" s="5">
        <f t="shared" si="4"/>
        <v>0.37182252748200928</v>
      </c>
      <c r="BB42" s="5">
        <f t="shared" si="4"/>
        <v>0.35417694052667914</v>
      </c>
      <c r="BC42" s="5">
        <f t="shared" si="4"/>
        <v>0.3546024588140419</v>
      </c>
      <c r="BD42" s="5">
        <f t="shared" si="4"/>
        <v>0.36285555499418987</v>
      </c>
      <c r="BE42" s="5">
        <f t="shared" si="4"/>
        <v>0.38139913616087234</v>
      </c>
      <c r="BF42" s="5">
        <f t="shared" si="4"/>
        <v>0.3399548746430206</v>
      </c>
      <c r="BG42" s="5">
        <f t="shared" si="4"/>
        <v>0.37165577078985046</v>
      </c>
      <c r="BH42" s="5">
        <f t="shared" si="4"/>
        <v>0.34403142364437628</v>
      </c>
      <c r="BI42" s="5">
        <f t="shared" si="4"/>
        <v>0.36758508914100491</v>
      </c>
      <c r="BJ42" s="5">
        <f t="shared" si="4"/>
        <v>0.38783187831878324</v>
      </c>
      <c r="BK42" s="5">
        <f t="shared" si="4"/>
        <v>0.33902945619335345</v>
      </c>
    </row>
    <row r="43" spans="1:63" x14ac:dyDescent="0.3">
      <c r="A43" s="2" t="s">
        <v>42</v>
      </c>
      <c r="B43" s="5">
        <f>B23/B37</f>
        <v>0.13639746327573937</v>
      </c>
      <c r="C43" s="5">
        <f t="shared" ref="C43:BK43" si="5">C23/C37</f>
        <v>0.14359051536737905</v>
      </c>
      <c r="D43" s="5">
        <f t="shared" si="5"/>
        <v>0.14509076679653607</v>
      </c>
      <c r="E43" s="5">
        <f t="shared" si="5"/>
        <v>0.13195707810428295</v>
      </c>
      <c r="F43" s="5">
        <f t="shared" si="5"/>
        <v>0.14355541216325213</v>
      </c>
      <c r="G43" s="5">
        <f t="shared" si="5"/>
        <v>0.14561259129719165</v>
      </c>
      <c r="H43" s="5">
        <f t="shared" si="5"/>
        <v>0.14409435829759157</v>
      </c>
      <c r="I43" s="5">
        <f t="shared" si="5"/>
        <v>0.14083251932205712</v>
      </c>
      <c r="J43" s="5">
        <f t="shared" si="5"/>
        <v>0.1373781683940625</v>
      </c>
      <c r="K43" s="5">
        <f t="shared" si="5"/>
        <v>0.13198265668111944</v>
      </c>
      <c r="L43" s="5">
        <f t="shared" si="5"/>
        <v>0.14964852276438134</v>
      </c>
      <c r="M43" s="5">
        <f t="shared" si="5"/>
        <v>0.13514639830835481</v>
      </c>
      <c r="N43" s="5">
        <f t="shared" si="5"/>
        <v>0.14092590442383932</v>
      </c>
      <c r="O43" s="5">
        <f t="shared" si="5"/>
        <v>0.14383753938297408</v>
      </c>
      <c r="P43" s="5">
        <f t="shared" si="5"/>
        <v>0.14266125112823716</v>
      </c>
      <c r="Q43" s="5">
        <f t="shared" si="5"/>
        <v>0.13809770412566894</v>
      </c>
      <c r="R43" s="5">
        <f t="shared" si="5"/>
        <v>0.13556191707452209</v>
      </c>
      <c r="S43" s="5">
        <f t="shared" si="5"/>
        <v>0.14465143011697887</v>
      </c>
      <c r="T43" s="5">
        <f t="shared" si="5"/>
        <v>0.13880168325429162</v>
      </c>
      <c r="U43" s="5">
        <f t="shared" si="5"/>
        <v>0.13743066561014264</v>
      </c>
      <c r="V43" s="5">
        <f t="shared" si="5"/>
        <v>0.14231839361737791</v>
      </c>
      <c r="W43" s="5">
        <f t="shared" si="5"/>
        <v>0.1453414441351342</v>
      </c>
      <c r="X43" s="5">
        <f t="shared" si="5"/>
        <v>0.14188698724049492</v>
      </c>
      <c r="Y43" s="5">
        <f t="shared" si="5"/>
        <v>0.14073034194700082</v>
      </c>
      <c r="Z43" s="5">
        <f t="shared" si="5"/>
        <v>0.13709934874217852</v>
      </c>
      <c r="AA43" s="5">
        <f t="shared" si="5"/>
        <v>0.139687082924633</v>
      </c>
      <c r="AB43" s="5">
        <f t="shared" si="5"/>
        <v>0.1368639197520114</v>
      </c>
      <c r="AC43" s="5">
        <f t="shared" si="5"/>
        <v>0.14157557602218046</v>
      </c>
      <c r="AD43" s="5">
        <f t="shared" si="5"/>
        <v>0.14461063669361204</v>
      </c>
      <c r="AE43" s="5">
        <f t="shared" si="5"/>
        <v>0.13988164889171206</v>
      </c>
      <c r="AF43" s="5">
        <f t="shared" si="5"/>
        <v>0.14439052038683625</v>
      </c>
      <c r="AG43" s="5">
        <f t="shared" si="5"/>
        <v>0.13876556665010498</v>
      </c>
      <c r="AH43" s="5">
        <f t="shared" si="5"/>
        <v>0.14848193970420931</v>
      </c>
      <c r="AI43" s="5">
        <f t="shared" si="5"/>
        <v>0.13321253498568217</v>
      </c>
      <c r="AJ43" s="5">
        <f t="shared" si="5"/>
        <v>0.14570348063589891</v>
      </c>
      <c r="AK43" s="5">
        <f t="shared" si="5"/>
        <v>0.13943863222034264</v>
      </c>
      <c r="AL43" s="5">
        <f t="shared" si="5"/>
        <v>0.13121355826790018</v>
      </c>
      <c r="AM43" s="5">
        <f t="shared" si="5"/>
        <v>0.14291112335668743</v>
      </c>
      <c r="AN43" s="5">
        <f t="shared" si="5"/>
        <v>0.14744725545711937</v>
      </c>
      <c r="AO43" s="5">
        <f t="shared" si="5"/>
        <v>0.14180975932569401</v>
      </c>
      <c r="AP43" s="5">
        <f t="shared" si="5"/>
        <v>0.13872687885352439</v>
      </c>
      <c r="AQ43" s="5">
        <f t="shared" si="5"/>
        <v>0.13531927114912085</v>
      </c>
      <c r="AR43" s="5">
        <f t="shared" si="5"/>
        <v>0.14123089036152484</v>
      </c>
      <c r="AS43" s="5">
        <f t="shared" si="5"/>
        <v>0.12966213592233011</v>
      </c>
      <c r="AT43" s="5">
        <f t="shared" si="5"/>
        <v>0.14184210958139842</v>
      </c>
      <c r="AU43" s="5">
        <f t="shared" si="5"/>
        <v>0.13652093385972608</v>
      </c>
      <c r="AV43" s="5">
        <f t="shared" si="5"/>
        <v>0.13351015411657619</v>
      </c>
      <c r="AW43" s="5">
        <f t="shared" si="5"/>
        <v>0.1394870388149774</v>
      </c>
      <c r="AX43" s="5">
        <f t="shared" si="5"/>
        <v>0.142886985585962</v>
      </c>
      <c r="AY43" s="5">
        <f t="shared" si="5"/>
        <v>0.14285714285714288</v>
      </c>
      <c r="AZ43" s="5">
        <f t="shared" si="5"/>
        <v>0.12591941391941394</v>
      </c>
      <c r="BA43" s="5">
        <f t="shared" si="5"/>
        <v>0.14382107788151238</v>
      </c>
      <c r="BB43" s="5">
        <f t="shared" si="5"/>
        <v>0.13632179373376729</v>
      </c>
      <c r="BC43" s="5">
        <f t="shared" si="5"/>
        <v>0.13706160201445006</v>
      </c>
      <c r="BD43" s="5">
        <f t="shared" si="5"/>
        <v>0.144478687751562</v>
      </c>
      <c r="BE43" s="5">
        <f t="shared" si="5"/>
        <v>0.14421511010408555</v>
      </c>
      <c r="BF43" s="5">
        <f t="shared" si="5"/>
        <v>0.13655942820177033</v>
      </c>
      <c r="BG43" s="5">
        <f t="shared" si="5"/>
        <v>0.14391182102013006</v>
      </c>
      <c r="BH43" s="5">
        <f t="shared" si="5"/>
        <v>0.13125119754742287</v>
      </c>
      <c r="BI43" s="5">
        <f t="shared" si="5"/>
        <v>0.14158491853621089</v>
      </c>
      <c r="BJ43" s="5">
        <f t="shared" si="5"/>
        <v>0.14720547205472057</v>
      </c>
      <c r="BK43" s="5">
        <f t="shared" si="5"/>
        <v>0.14016868076535749</v>
      </c>
    </row>
    <row r="44" spans="1:63" x14ac:dyDescent="0.3">
      <c r="A44" s="2" t="s">
        <v>47</v>
      </c>
      <c r="B44" s="9">
        <f>B38/B37</f>
        <v>0.95648094221186841</v>
      </c>
      <c r="C44" s="9">
        <f t="shared" ref="C44:BK44" si="6">C38/C37</f>
        <v>0.95963345707501424</v>
      </c>
      <c r="D44" s="9">
        <f t="shared" si="6"/>
        <v>0.95035473059189834</v>
      </c>
      <c r="E44" s="9">
        <f t="shared" si="6"/>
        <v>0.95880484721408532</v>
      </c>
      <c r="F44" s="9">
        <f t="shared" si="6"/>
        <v>0.95846104210356509</v>
      </c>
      <c r="G44" s="9">
        <f t="shared" si="6"/>
        <v>0.95638308815965423</v>
      </c>
      <c r="H44" s="9">
        <f t="shared" si="6"/>
        <v>0.93785879247773019</v>
      </c>
      <c r="I44" s="9">
        <f t="shared" si="6"/>
        <v>0.95290730553699021</v>
      </c>
      <c r="J44" s="9">
        <f t="shared" si="6"/>
        <v>0.94542870823743841</v>
      </c>
      <c r="K44" s="9">
        <f t="shared" si="6"/>
        <v>0.95273157272368936</v>
      </c>
      <c r="L44" s="9">
        <f t="shared" si="6"/>
        <v>0.95830397195056949</v>
      </c>
      <c r="M44" s="9">
        <f t="shared" si="6"/>
        <v>0.94735217398015081</v>
      </c>
      <c r="N44" s="9">
        <f t="shared" si="6"/>
        <v>0.94554381541625887</v>
      </c>
      <c r="O44" s="9">
        <f t="shared" si="6"/>
        <v>0.95086876501232176</v>
      </c>
      <c r="P44" s="9">
        <f t="shared" si="6"/>
        <v>0.94870860237450527</v>
      </c>
      <c r="Q44" s="9">
        <f t="shared" si="6"/>
        <v>0.95471023021515</v>
      </c>
      <c r="R44" s="9">
        <f t="shared" si="6"/>
        <v>0.95725982700772605</v>
      </c>
      <c r="S44" s="9">
        <f t="shared" si="6"/>
        <v>0.95158563797416984</v>
      </c>
      <c r="T44" s="9">
        <f t="shared" si="6"/>
        <v>0.95721728675439166</v>
      </c>
      <c r="U44" s="9">
        <f t="shared" si="6"/>
        <v>0.95615425250924457</v>
      </c>
      <c r="V44" s="9">
        <f t="shared" si="6"/>
        <v>0.94902953303610349</v>
      </c>
      <c r="W44" s="9">
        <f t="shared" si="6"/>
        <v>0.95726363542633264</v>
      </c>
      <c r="X44" s="9">
        <f t="shared" si="6"/>
        <v>0.95536592841127221</v>
      </c>
      <c r="Y44" s="9">
        <f t="shared" si="6"/>
        <v>0.95739960831210247</v>
      </c>
      <c r="Z44" s="9">
        <f t="shared" si="6"/>
        <v>0.95201762227046349</v>
      </c>
      <c r="AA44" s="9">
        <f t="shared" si="6"/>
        <v>0.95684124202029308</v>
      </c>
      <c r="AB44" s="9">
        <f t="shared" si="6"/>
        <v>0.95214377764619818</v>
      </c>
      <c r="AC44" s="9">
        <f t="shared" si="6"/>
        <v>0.9572644125051788</v>
      </c>
      <c r="AD44" s="9">
        <f t="shared" si="6"/>
        <v>0.94864016552981822</v>
      </c>
      <c r="AE44" s="9">
        <f t="shared" si="6"/>
        <v>0.95963023636789146</v>
      </c>
      <c r="AF44" s="9">
        <f t="shared" si="6"/>
        <v>0.94884693046158219</v>
      </c>
      <c r="AG44" s="9">
        <f t="shared" si="6"/>
        <v>0.95813632939592597</v>
      </c>
      <c r="AH44" s="9">
        <f t="shared" si="6"/>
        <v>0.94946316837315115</v>
      </c>
      <c r="AI44" s="9">
        <f t="shared" si="6"/>
        <v>0.95643170309491832</v>
      </c>
      <c r="AJ44" s="9">
        <f t="shared" si="6"/>
        <v>0.95327053715246168</v>
      </c>
      <c r="AK44" s="9">
        <f t="shared" si="6"/>
        <v>0.95012071542365384</v>
      </c>
      <c r="AL44" s="9">
        <f t="shared" si="6"/>
        <v>0.95540698126409074</v>
      </c>
      <c r="AM44" s="9">
        <f t="shared" si="6"/>
        <v>0.95471935763205551</v>
      </c>
      <c r="AN44" s="9">
        <f t="shared" si="6"/>
        <v>0.95469905927481957</v>
      </c>
      <c r="AO44" s="9">
        <f t="shared" si="6"/>
        <v>0.9564452648810563</v>
      </c>
      <c r="AP44" s="9">
        <f t="shared" si="6"/>
        <v>0.94795867355440755</v>
      </c>
      <c r="AQ44" s="9">
        <f t="shared" si="6"/>
        <v>0.95294699556434892</v>
      </c>
      <c r="AR44" s="9">
        <f t="shared" si="6"/>
        <v>0.95838527655665628</v>
      </c>
      <c r="AS44" s="9">
        <f t="shared" si="6"/>
        <v>0.95976699029126211</v>
      </c>
      <c r="AT44" s="9">
        <f t="shared" si="6"/>
        <v>0.95472670287655281</v>
      </c>
      <c r="AU44" s="9">
        <f t="shared" si="6"/>
        <v>0.95641013143571985</v>
      </c>
      <c r="AV44" s="9">
        <f t="shared" si="6"/>
        <v>0.95644872720424368</v>
      </c>
      <c r="AW44" s="9">
        <f t="shared" si="6"/>
        <v>0.95108695652173925</v>
      </c>
      <c r="AX44" s="9">
        <f t="shared" si="6"/>
        <v>0.95136132581296573</v>
      </c>
      <c r="AY44" s="9">
        <f t="shared" si="6"/>
        <v>0.95676385518135565</v>
      </c>
      <c r="AZ44" s="9">
        <f t="shared" si="6"/>
        <v>0.9596190476190477</v>
      </c>
      <c r="BA44" s="9">
        <f t="shared" si="6"/>
        <v>0.95637392789963227</v>
      </c>
      <c r="BB44" s="9">
        <f t="shared" si="6"/>
        <v>0.95995660321530718</v>
      </c>
      <c r="BC44" s="9">
        <f t="shared" si="6"/>
        <v>0.95441154688040042</v>
      </c>
      <c r="BD44" s="9">
        <f t="shared" si="6"/>
        <v>0.9485508344700988</v>
      </c>
      <c r="BE44" s="9">
        <f t="shared" si="6"/>
        <v>0.94666501451532958</v>
      </c>
      <c r="BF44" s="9">
        <f t="shared" si="6"/>
        <v>0.95271304375266275</v>
      </c>
      <c r="BG44" s="9">
        <f t="shared" si="6"/>
        <v>0.95544477601642153</v>
      </c>
      <c r="BH44" s="9">
        <f t="shared" si="6"/>
        <v>0.96036916395222571</v>
      </c>
      <c r="BI44" s="9">
        <f t="shared" si="6"/>
        <v>0.95383434274503121</v>
      </c>
      <c r="BJ44" s="9">
        <f t="shared" si="6"/>
        <v>0.95093150931509329</v>
      </c>
      <c r="BK44" s="9">
        <f t="shared" si="6"/>
        <v>0.95893126888217506</v>
      </c>
    </row>
    <row r="46" spans="1:63" x14ac:dyDescent="0.3">
      <c r="A46" s="22" t="s">
        <v>45</v>
      </c>
      <c r="B46" s="22">
        <v>7008.5254683454395</v>
      </c>
      <c r="C46" s="22">
        <v>7217.7556415912204</v>
      </c>
      <c r="D46" s="22">
        <v>6951.9975096360304</v>
      </c>
      <c r="E46" s="22">
        <v>7291.2223754961396</v>
      </c>
      <c r="F46" s="22">
        <v>7112.28556047239</v>
      </c>
      <c r="G46" s="22">
        <v>7049.28301185483</v>
      </c>
      <c r="H46" s="22">
        <v>7118.4448615551901</v>
      </c>
      <c r="I46" s="22">
        <v>7030.9079251254598</v>
      </c>
      <c r="J46" s="22">
        <v>7361.7049079683602</v>
      </c>
      <c r="K46" s="22">
        <v>6994.9017749243903</v>
      </c>
      <c r="L46" s="22">
        <v>7142.2191385748201</v>
      </c>
      <c r="M46" s="22">
        <v>7163.6239848580399</v>
      </c>
      <c r="N46" s="22">
        <v>7026.1314504233396</v>
      </c>
      <c r="O46" s="22">
        <v>7260.4649801420801</v>
      </c>
      <c r="P46" s="22">
        <v>6637.4681258846604</v>
      </c>
      <c r="Q46" s="22">
        <v>7062.5332392502996</v>
      </c>
      <c r="R46" s="22">
        <v>7262.1940750270396</v>
      </c>
      <c r="S46" s="22">
        <v>7033.5602864005596</v>
      </c>
      <c r="T46" s="22">
        <v>6998.5275928500396</v>
      </c>
      <c r="U46" s="22">
        <v>6984.89684807503</v>
      </c>
      <c r="V46" s="22">
        <v>7061.2147631110402</v>
      </c>
      <c r="W46" s="22">
        <v>6949.5875799525502</v>
      </c>
      <c r="X46" s="22">
        <v>7257.1030735642298</v>
      </c>
      <c r="Y46" s="22">
        <v>6864.8041685197704</v>
      </c>
      <c r="Z46" s="22">
        <v>6893.1495845296504</v>
      </c>
      <c r="AA46" s="22">
        <v>7125.8049309116304</v>
      </c>
      <c r="AB46" s="22">
        <v>6931.2408289019204</v>
      </c>
      <c r="AC46" s="22">
        <v>7266.2760168852101</v>
      </c>
      <c r="AD46" s="22">
        <v>6742.4194266252498</v>
      </c>
      <c r="AE46" s="22">
        <v>6782.6033821688097</v>
      </c>
      <c r="AF46" s="22">
        <v>6867.3415825109796</v>
      </c>
      <c r="AG46" s="22">
        <v>7044.3429056569903</v>
      </c>
      <c r="AH46" s="22">
        <v>6860.5078452440703</v>
      </c>
      <c r="AI46" s="22">
        <v>7156.3277662955998</v>
      </c>
      <c r="AJ46" s="22">
        <v>7011.7327587436903</v>
      </c>
      <c r="AK46" s="22">
        <v>7117.5864416922705</v>
      </c>
      <c r="AL46" s="22">
        <v>7097.8447600222898</v>
      </c>
      <c r="AM46" s="22">
        <v>7467.9418338710102</v>
      </c>
      <c r="AN46" s="22">
        <v>6732.0512408232898</v>
      </c>
      <c r="AO46" s="22">
        <v>6912.2991732952296</v>
      </c>
      <c r="AP46" s="22">
        <v>6985.5228517311498</v>
      </c>
      <c r="AQ46" s="22">
        <v>6963.5497307769801</v>
      </c>
      <c r="AR46" s="22">
        <v>7124.2836731866901</v>
      </c>
      <c r="AS46" s="22">
        <v>7006.3113771631297</v>
      </c>
      <c r="AT46" s="22">
        <v>7155.43943031852</v>
      </c>
      <c r="AU46" s="22">
        <v>7170.4790046467197</v>
      </c>
      <c r="AV46" s="22">
        <v>7092.4911751066702</v>
      </c>
      <c r="AW46" s="22">
        <v>6792.9037296604301</v>
      </c>
      <c r="AX46" s="22">
        <v>6990.1963753548298</v>
      </c>
      <c r="AY46" s="22">
        <v>7123.24920071006</v>
      </c>
      <c r="AZ46" s="22">
        <v>7256.7326418385601</v>
      </c>
      <c r="BA46" s="22">
        <v>6969.1102722962396</v>
      </c>
      <c r="BB46" s="22">
        <v>6923.6002837337401</v>
      </c>
      <c r="BC46" s="22">
        <v>7216.5896589833801</v>
      </c>
      <c r="BD46" s="22">
        <v>7129.6247936801601</v>
      </c>
      <c r="BE46" s="22">
        <v>6799.2614957117203</v>
      </c>
      <c r="BF46" s="22">
        <v>7130.4643211329103</v>
      </c>
      <c r="BG46" s="22">
        <v>6860.62876879337</v>
      </c>
      <c r="BH46" s="22">
        <v>7009.52001290914</v>
      </c>
      <c r="BI46" s="22">
        <v>6709.41308084094</v>
      </c>
      <c r="BJ46" s="22">
        <v>6760.2887171129396</v>
      </c>
      <c r="BK46" s="22">
        <v>7399.0927556664901</v>
      </c>
    </row>
    <row r="47" spans="1:63" x14ac:dyDescent="0.3">
      <c r="A47" s="22" t="s">
        <v>46</v>
      </c>
      <c r="B47" s="23">
        <f>B21/B46</f>
        <v>2.4527270504530515E-2</v>
      </c>
      <c r="C47" s="23">
        <f t="shared" ref="C47:BK47" si="7">C21/C46</f>
        <v>3.8557692144125598E-2</v>
      </c>
      <c r="D47" s="23">
        <f t="shared" si="7"/>
        <v>3.4522451952455478E-2</v>
      </c>
      <c r="E47" s="23">
        <f t="shared" si="7"/>
        <v>3.6399932183105381E-2</v>
      </c>
      <c r="F47" s="23">
        <f t="shared" si="7"/>
        <v>4.3699032801399078E-2</v>
      </c>
      <c r="G47" s="23">
        <f t="shared" si="7"/>
        <v>3.183302466685263E-2</v>
      </c>
      <c r="H47" s="23">
        <f t="shared" si="7"/>
        <v>3.0413946333876712E-2</v>
      </c>
      <c r="I47" s="23">
        <f t="shared" si="7"/>
        <v>3.7676499652820168E-2</v>
      </c>
      <c r="J47" s="23">
        <f t="shared" si="7"/>
        <v>3.405461141598335E-2</v>
      </c>
      <c r="K47" s="23">
        <f t="shared" si="7"/>
        <v>3.3538712557909488E-2</v>
      </c>
      <c r="L47" s="23">
        <f t="shared" si="7"/>
        <v>3.2146871377824328E-2</v>
      </c>
      <c r="M47" s="23">
        <f t="shared" si="7"/>
        <v>3.8458188283239374E-2</v>
      </c>
      <c r="N47" s="23">
        <f t="shared" si="7"/>
        <v>2.3996135169068247E-2</v>
      </c>
      <c r="O47" s="23">
        <f t="shared" si="7"/>
        <v>3.8289558693603093E-2</v>
      </c>
      <c r="P47" s="23">
        <f t="shared" si="7"/>
        <v>3.4576437226869788E-2</v>
      </c>
      <c r="Q47" s="23">
        <f t="shared" si="7"/>
        <v>3.9504238854331589E-2</v>
      </c>
      <c r="R47" s="23">
        <f t="shared" si="7"/>
        <v>3.9919065368536101E-2</v>
      </c>
      <c r="S47" s="23">
        <f t="shared" si="7"/>
        <v>3.1818878475061763E-2</v>
      </c>
      <c r="T47" s="23">
        <f t="shared" si="7"/>
        <v>3.2864055610065279E-2</v>
      </c>
      <c r="U47" s="23">
        <f t="shared" si="7"/>
        <v>3.0880914162597094E-2</v>
      </c>
      <c r="V47" s="23">
        <f t="shared" si="7"/>
        <v>3.2019986303374312E-2</v>
      </c>
      <c r="W47" s="23">
        <f t="shared" si="7"/>
        <v>3.6088472461802169E-2</v>
      </c>
      <c r="X47" s="23">
        <f t="shared" si="7"/>
        <v>3.7163589557167531E-2</v>
      </c>
      <c r="Y47" s="23">
        <f t="shared" si="7"/>
        <v>3.7044028315644392E-2</v>
      </c>
      <c r="Z47" s="23">
        <f t="shared" si="7"/>
        <v>3.4193367938653664E-2</v>
      </c>
      <c r="AA47" s="23">
        <f t="shared" si="7"/>
        <v>4.1370764827024974E-2</v>
      </c>
      <c r="AB47" s="23">
        <f t="shared" si="7"/>
        <v>3.6111860225127065E-2</v>
      </c>
      <c r="AC47" s="23">
        <f t="shared" si="7"/>
        <v>3.5079867515033711E-2</v>
      </c>
      <c r="AD47" s="23">
        <f t="shared" si="7"/>
        <v>3.2139798236856913E-2</v>
      </c>
      <c r="AE47" s="23">
        <f t="shared" si="7"/>
        <v>4.7061575329491311E-2</v>
      </c>
      <c r="AF47" s="23">
        <f t="shared" si="7"/>
        <v>4.0510581373801237E-2</v>
      </c>
      <c r="AG47" s="23">
        <f t="shared" si="7"/>
        <v>4.5781416992210153E-2</v>
      </c>
      <c r="AH47" s="23">
        <f t="shared" si="7"/>
        <v>3.3977076516513653E-2</v>
      </c>
      <c r="AI47" s="23">
        <f t="shared" si="7"/>
        <v>4.2060678301744356E-2</v>
      </c>
      <c r="AJ47" s="23">
        <f t="shared" si="7"/>
        <v>3.4313914730987112E-2</v>
      </c>
      <c r="AK47" s="23">
        <f t="shared" si="7"/>
        <v>3.1302745927315676E-2</v>
      </c>
      <c r="AL47" s="23">
        <f t="shared" si="7"/>
        <v>2.9854132791618644E-2</v>
      </c>
      <c r="AM47" s="23">
        <f t="shared" si="7"/>
        <v>3.2833678335293152E-2</v>
      </c>
      <c r="AN47" s="23">
        <f t="shared" si="7"/>
        <v>3.3169682168475552E-2</v>
      </c>
      <c r="AO47" s="23">
        <f t="shared" si="7"/>
        <v>3.2926815563669908E-2</v>
      </c>
      <c r="AP47" s="23">
        <f t="shared" si="7"/>
        <v>4.2416295285122578E-2</v>
      </c>
      <c r="AQ47" s="23">
        <f t="shared" si="7"/>
        <v>3.2526514314808741E-2</v>
      </c>
      <c r="AR47" s="23">
        <f t="shared" si="7"/>
        <v>3.2662932959253342E-2</v>
      </c>
      <c r="AS47" s="23">
        <f t="shared" si="7"/>
        <v>4.2690080971123819E-2</v>
      </c>
      <c r="AT47" s="23">
        <f t="shared" si="7"/>
        <v>3.7719556238069579E-2</v>
      </c>
      <c r="AU47" s="23">
        <f t="shared" si="7"/>
        <v>4.1880047316977732E-2</v>
      </c>
      <c r="AV47" s="23">
        <f t="shared" si="7"/>
        <v>4.4878448508638834E-2</v>
      </c>
      <c r="AW47" s="23">
        <f t="shared" si="7"/>
        <v>3.8937692999400426E-2</v>
      </c>
      <c r="AX47" s="23">
        <f t="shared" si="7"/>
        <v>2.9670124966907265E-2</v>
      </c>
      <c r="AY47" s="23">
        <f t="shared" si="7"/>
        <v>3.2316712993426255E-2</v>
      </c>
      <c r="AZ47" s="23">
        <f t="shared" si="7"/>
        <v>3.0371795528098666E-2</v>
      </c>
      <c r="BA47" s="23">
        <f t="shared" si="7"/>
        <v>4.3018403825775514E-2</v>
      </c>
      <c r="BB47" s="23">
        <f t="shared" si="7"/>
        <v>4.0311397042332976E-2</v>
      </c>
      <c r="BC47" s="23">
        <f t="shared" si="7"/>
        <v>3.2605428757764142E-2</v>
      </c>
      <c r="BD47" s="23">
        <f t="shared" si="7"/>
        <v>2.7939759210972054E-2</v>
      </c>
      <c r="BE47" s="23">
        <f t="shared" si="7"/>
        <v>3.3988985442868214E-2</v>
      </c>
      <c r="BF47" s="23">
        <f t="shared" si="7"/>
        <v>3.9660811310962128E-2</v>
      </c>
      <c r="BG47" s="23">
        <f t="shared" si="7"/>
        <v>4.0958344995749067E-2</v>
      </c>
      <c r="BH47" s="23">
        <f t="shared" si="7"/>
        <v>3.6421894727431361E-2</v>
      </c>
      <c r="BI47" s="23">
        <f t="shared" si="7"/>
        <v>3.4399432143932353E-2</v>
      </c>
      <c r="BJ47" s="23">
        <f t="shared" si="7"/>
        <v>3.4510360394730821E-2</v>
      </c>
      <c r="BK47" s="23">
        <f t="shared" si="7"/>
        <v>3.5342170808675688E-2</v>
      </c>
    </row>
    <row r="49" spans="1:63" x14ac:dyDescent="0.3">
      <c r="A49" t="s">
        <v>48</v>
      </c>
      <c r="B49" s="24">
        <v>9938.3499766566183</v>
      </c>
      <c r="C49" s="24">
        <v>9990.6853367207805</v>
      </c>
      <c r="D49" s="24">
        <v>10013.113341217784</v>
      </c>
      <c r="E49" s="24">
        <v>10177.144520184678</v>
      </c>
      <c r="F49" s="24">
        <v>10089.442359202532</v>
      </c>
      <c r="G49" s="24">
        <v>9975.8850626968015</v>
      </c>
      <c r="H49" s="24">
        <v>10075.500163858425</v>
      </c>
      <c r="I49" s="24">
        <v>10125.400723133591</v>
      </c>
      <c r="J49" s="24">
        <v>10125.02108964091</v>
      </c>
      <c r="K49" s="24">
        <v>10035.5178348666</v>
      </c>
      <c r="L49" s="24">
        <v>10052.664306307799</v>
      </c>
      <c r="M49" s="24">
        <v>9929.5144599558953</v>
      </c>
      <c r="N49" s="24">
        <v>9941.7635075802009</v>
      </c>
      <c r="O49" s="24">
        <v>9972.6278095618236</v>
      </c>
      <c r="P49" s="24">
        <v>9912.8267139727886</v>
      </c>
      <c r="Q49" s="24">
        <v>9870.6095454386923</v>
      </c>
      <c r="R49" s="24">
        <v>9932.8553986966763</v>
      </c>
      <c r="S49" s="24">
        <v>10063.830516600119</v>
      </c>
      <c r="T49" s="24">
        <v>10025.774877845171</v>
      </c>
      <c r="U49" s="24">
        <v>10088.572389468536</v>
      </c>
      <c r="V49" s="24">
        <v>10046.456886841155</v>
      </c>
      <c r="W49" s="24">
        <v>9966.3698169899526</v>
      </c>
      <c r="X49" s="24">
        <v>10124.114694172677</v>
      </c>
      <c r="Y49" s="24">
        <v>9949.0618241943357</v>
      </c>
      <c r="Z49" s="24">
        <v>9891.7553011781856</v>
      </c>
      <c r="AA49" s="24">
        <v>10200.500905276562</v>
      </c>
      <c r="AB49" s="24">
        <v>10084.626515151065</v>
      </c>
      <c r="AC49" s="24">
        <v>10127.366839140708</v>
      </c>
      <c r="AD49" s="24">
        <v>9897.3606062586314</v>
      </c>
      <c r="AE49" s="24">
        <v>9880.0295114568107</v>
      </c>
      <c r="AF49" s="24">
        <v>9934.3299850885178</v>
      </c>
      <c r="AG49" s="24">
        <v>10214.055398632476</v>
      </c>
      <c r="AH49" s="24">
        <v>10025.871460451923</v>
      </c>
      <c r="AI49" s="24">
        <v>10154.646400573651</v>
      </c>
      <c r="AJ49" s="24">
        <v>10039.811400228104</v>
      </c>
      <c r="AK49" s="24">
        <v>10155.307976905353</v>
      </c>
      <c r="AL49" s="24">
        <v>10326.104152743335</v>
      </c>
      <c r="AM49" s="24">
        <v>10088.199137508955</v>
      </c>
      <c r="AN49" s="24">
        <v>10045.555516622151</v>
      </c>
      <c r="AO49" s="24">
        <v>9882.1355860646818</v>
      </c>
      <c r="AP49" s="24">
        <v>9793.718351052099</v>
      </c>
      <c r="AQ49" s="24">
        <v>9959.6662343810003</v>
      </c>
      <c r="AR49" s="24">
        <v>9942.3435592131718</v>
      </c>
      <c r="AS49" s="24">
        <v>9965.4316623790819</v>
      </c>
      <c r="AT49" s="24">
        <v>10038.825912689235</v>
      </c>
      <c r="AU49" s="24">
        <v>10016.01657425466</v>
      </c>
      <c r="AV49" s="24">
        <v>10040.380270352431</v>
      </c>
      <c r="AW49" s="24">
        <v>9767.3420526028494</v>
      </c>
      <c r="AX49" s="24">
        <v>9914.8089549628858</v>
      </c>
      <c r="AY49" s="24">
        <v>9989.9184538080026</v>
      </c>
      <c r="AZ49" s="24">
        <v>10259.557507435575</v>
      </c>
      <c r="BA49" s="24">
        <v>9853.1531104873447</v>
      </c>
      <c r="BB49" s="24">
        <v>10036.823841866935</v>
      </c>
      <c r="BC49" s="24">
        <v>10047.538633157183</v>
      </c>
      <c r="BD49" s="24">
        <v>9684.9729879645292</v>
      </c>
      <c r="BE49" s="24">
        <v>9786.371710313786</v>
      </c>
      <c r="BF49" s="24">
        <v>9790.5893160787346</v>
      </c>
      <c r="BG49" s="24">
        <v>9880.7171586341265</v>
      </c>
      <c r="BH49" s="24">
        <v>9829.7003170331191</v>
      </c>
      <c r="BI49" s="24">
        <v>9759.0853292720985</v>
      </c>
      <c r="BJ49" s="24">
        <v>9714.8935245703342</v>
      </c>
      <c r="BK49" s="24">
        <v>9933.5040767383816</v>
      </c>
    </row>
    <row r="50" spans="1:63" x14ac:dyDescent="0.3">
      <c r="A50" t="s">
        <v>49</v>
      </c>
      <c r="B50" s="24">
        <v>9245.0636553404911</v>
      </c>
      <c r="C50" s="24">
        <v>9405.3474049588349</v>
      </c>
      <c r="D50" s="24">
        <v>9356.4496989670224</v>
      </c>
      <c r="E50" s="24">
        <v>9349.0711799154396</v>
      </c>
      <c r="F50" s="24">
        <v>9262.6078303760205</v>
      </c>
      <c r="G50" s="24">
        <v>9352.0039385315977</v>
      </c>
      <c r="H50" s="24">
        <v>9333.9810974040574</v>
      </c>
      <c r="I50" s="24">
        <v>9542.9028793883099</v>
      </c>
      <c r="J50" s="24">
        <v>9220.5061368064253</v>
      </c>
      <c r="K50" s="24">
        <v>9326.2999146425482</v>
      </c>
      <c r="L50" s="24">
        <v>9371.3620169780625</v>
      </c>
      <c r="M50" s="24">
        <v>9242.7525383522443</v>
      </c>
      <c r="N50" s="24">
        <v>8854.6100421073024</v>
      </c>
      <c r="O50" s="24">
        <v>9253.7371555755217</v>
      </c>
      <c r="P50" s="24">
        <v>9288.4670183630988</v>
      </c>
      <c r="Q50" s="24">
        <v>9176.5689999419574</v>
      </c>
      <c r="R50" s="24">
        <v>9255.3980284670379</v>
      </c>
      <c r="S50" s="24">
        <v>9358.4030790722991</v>
      </c>
      <c r="T50" s="24">
        <v>9350.9171523583227</v>
      </c>
      <c r="U50" s="24">
        <v>9479.7960367671276</v>
      </c>
      <c r="V50" s="24">
        <v>9381.9987720083336</v>
      </c>
      <c r="W50" s="24">
        <v>9368.5896707941356</v>
      </c>
      <c r="X50" s="24">
        <v>9400.3477831942782</v>
      </c>
      <c r="Y50" s="24">
        <v>9410.5309195729897</v>
      </c>
      <c r="Z50" s="24">
        <v>9152.2678944476484</v>
      </c>
      <c r="AA50" s="24">
        <v>9491.8528000479855</v>
      </c>
      <c r="AB50" s="24">
        <v>9521.2583677189286</v>
      </c>
      <c r="AC50" s="24">
        <v>9361.0247533528527</v>
      </c>
      <c r="AD50" s="24">
        <v>9300.3981054025644</v>
      </c>
      <c r="AE50" s="24">
        <v>9283.8133158066157</v>
      </c>
      <c r="AF50" s="24">
        <v>9351.6518937803521</v>
      </c>
      <c r="AG50" s="24">
        <v>9557.6265244650222</v>
      </c>
      <c r="AH50" s="24">
        <v>9391.2586420029165</v>
      </c>
      <c r="AI50" s="24">
        <v>9564.234902819635</v>
      </c>
      <c r="AJ50" s="24">
        <v>9427.3269923215557</v>
      </c>
      <c r="AK50" s="24">
        <v>9492.6428386324715</v>
      </c>
      <c r="AL50" s="24">
        <v>9500.2159711724071</v>
      </c>
      <c r="AM50" s="24">
        <v>9322.2261583508534</v>
      </c>
      <c r="AN50" s="24">
        <v>9421.0748442338117</v>
      </c>
      <c r="AO50" s="24">
        <v>9284.9252224074989</v>
      </c>
      <c r="AP50" s="24">
        <v>9176.6679149988195</v>
      </c>
      <c r="AQ50" s="24">
        <v>9265.0521332772496</v>
      </c>
      <c r="AR50" s="24">
        <v>9237.5491140031663</v>
      </c>
      <c r="AS50" s="24">
        <v>9425.7819531653386</v>
      </c>
      <c r="AT50" s="24">
        <v>9371.5862791028321</v>
      </c>
      <c r="AU50" s="24">
        <v>9429.5330772691595</v>
      </c>
      <c r="AV50" s="24">
        <v>9422.5007904857248</v>
      </c>
      <c r="AW50" s="24">
        <v>9153.3353732249416</v>
      </c>
      <c r="AX50" s="24">
        <v>9301.3060454739461</v>
      </c>
      <c r="AY50" s="24">
        <v>9273.261416012745</v>
      </c>
      <c r="AZ50" s="24">
        <v>9503.8574420029945</v>
      </c>
      <c r="BA50" s="24">
        <v>9275.1707928778851</v>
      </c>
      <c r="BB50" s="24">
        <v>9454.4801611188577</v>
      </c>
      <c r="BC50" s="24">
        <v>9323.5464414608359</v>
      </c>
      <c r="BD50" s="24">
        <v>8917.3790497501323</v>
      </c>
      <c r="BE50" s="24">
        <v>9146.4397361170159</v>
      </c>
      <c r="BF50" s="24">
        <v>9061.412845974839</v>
      </c>
      <c r="BG50" s="24">
        <v>9323.1868626893665</v>
      </c>
      <c r="BH50" s="24">
        <v>9202.1496480796031</v>
      </c>
      <c r="BI50" s="24">
        <v>9241.3794708833339</v>
      </c>
      <c r="BJ50" s="24">
        <v>9078.9664997528689</v>
      </c>
      <c r="BK50" s="24">
        <v>9193.1441619232446</v>
      </c>
    </row>
    <row r="51" spans="1:63" x14ac:dyDescent="0.3">
      <c r="A51" t="s">
        <v>50</v>
      </c>
      <c r="B51" s="25">
        <f>B50/B49</f>
        <v>0.93024130535304839</v>
      </c>
      <c r="C51" s="25">
        <f t="shared" ref="C51:BK51" si="8">C50/C49</f>
        <v>0.94141163373342018</v>
      </c>
      <c r="D51" s="25">
        <f t="shared" si="8"/>
        <v>0.93441963354717217</v>
      </c>
      <c r="E51" s="25">
        <f t="shared" si="8"/>
        <v>0.91863401972656555</v>
      </c>
      <c r="F51" s="25">
        <f t="shared" si="8"/>
        <v>0.91804953144190771</v>
      </c>
      <c r="G51" s="25">
        <f t="shared" si="8"/>
        <v>0.93746107535880641</v>
      </c>
      <c r="H51" s="25">
        <f t="shared" si="8"/>
        <v>0.92640374627611521</v>
      </c>
      <c r="I51" s="25">
        <f t="shared" si="8"/>
        <v>0.94247162560051145</v>
      </c>
      <c r="J51" s="25">
        <f t="shared" si="8"/>
        <v>0.91066537592105268</v>
      </c>
      <c r="K51" s="25">
        <f t="shared" si="8"/>
        <v>0.92932921530366863</v>
      </c>
      <c r="L51" s="25">
        <f t="shared" si="8"/>
        <v>0.93222669447917039</v>
      </c>
      <c r="M51" s="25">
        <f t="shared" si="8"/>
        <v>0.93083630379176652</v>
      </c>
      <c r="N51" s="25">
        <f t="shared" si="8"/>
        <v>0.89064782474014925</v>
      </c>
      <c r="O51" s="25">
        <f t="shared" si="8"/>
        <v>0.92791361838481279</v>
      </c>
      <c r="P51" s="25">
        <f t="shared" si="8"/>
        <v>0.9370149692287455</v>
      </c>
      <c r="Q51" s="25">
        <f t="shared" si="8"/>
        <v>0.92968615136666433</v>
      </c>
      <c r="R51" s="25">
        <f t="shared" si="8"/>
        <v>0.93179631203344304</v>
      </c>
      <c r="S51" s="25">
        <f t="shared" si="8"/>
        <v>0.92990467830671142</v>
      </c>
      <c r="T51" s="25">
        <f t="shared" si="8"/>
        <v>0.93268772402040057</v>
      </c>
      <c r="U51" s="25">
        <f t="shared" si="8"/>
        <v>0.93965683852980919</v>
      </c>
      <c r="V51" s="25">
        <f t="shared" si="8"/>
        <v>0.93386144764099588</v>
      </c>
      <c r="W51" s="25">
        <f t="shared" si="8"/>
        <v>0.94002027245900865</v>
      </c>
      <c r="X51" s="25">
        <f t="shared" si="8"/>
        <v>0.92851059743574516</v>
      </c>
      <c r="Y51" s="25">
        <f t="shared" si="8"/>
        <v>0.94587118723981234</v>
      </c>
      <c r="Z51" s="25">
        <f t="shared" si="8"/>
        <v>0.92524204408468758</v>
      </c>
      <c r="AA51" s="25">
        <f t="shared" si="8"/>
        <v>0.93052810721657764</v>
      </c>
      <c r="AB51" s="25">
        <f t="shared" si="8"/>
        <v>0.94413594330085138</v>
      </c>
      <c r="AC51" s="25">
        <f t="shared" si="8"/>
        <v>0.92432958162174383</v>
      </c>
      <c r="AD51" s="25">
        <f t="shared" si="8"/>
        <v>0.93968467709678316</v>
      </c>
      <c r="AE51" s="25">
        <f t="shared" si="8"/>
        <v>0.93965441146113715</v>
      </c>
      <c r="AF51" s="25">
        <f t="shared" si="8"/>
        <v>0.94134701663999798</v>
      </c>
      <c r="AG51" s="25">
        <f t="shared" si="8"/>
        <v>0.9357327869735913</v>
      </c>
      <c r="AH51" s="25">
        <f t="shared" si="8"/>
        <v>0.93670247808858298</v>
      </c>
      <c r="AI51" s="25">
        <f t="shared" si="8"/>
        <v>0.94185799539798232</v>
      </c>
      <c r="AJ51" s="25">
        <f t="shared" si="8"/>
        <v>0.93899443092201584</v>
      </c>
      <c r="AK51" s="25">
        <f t="shared" si="8"/>
        <v>0.93474691857894632</v>
      </c>
      <c r="AL51" s="25">
        <f t="shared" si="8"/>
        <v>0.92001938297789543</v>
      </c>
      <c r="AM51" s="25">
        <f t="shared" si="8"/>
        <v>0.92407237716887092</v>
      </c>
      <c r="AN51" s="25">
        <f t="shared" si="8"/>
        <v>0.93783512804692326</v>
      </c>
      <c r="AO51" s="25">
        <f t="shared" si="8"/>
        <v>0.93956666972882452</v>
      </c>
      <c r="AP51" s="25">
        <f t="shared" si="8"/>
        <v>0.9369952847391213</v>
      </c>
      <c r="AQ51" s="25">
        <f t="shared" si="8"/>
        <v>0.93025729128292201</v>
      </c>
      <c r="AR51" s="25">
        <f t="shared" si="8"/>
        <v>0.92911183957660559</v>
      </c>
      <c r="AS51" s="25">
        <f t="shared" si="8"/>
        <v>0.94584783404305528</v>
      </c>
      <c r="AT51" s="25">
        <f t="shared" si="8"/>
        <v>0.93353409657766839</v>
      </c>
      <c r="AU51" s="25">
        <f t="shared" si="8"/>
        <v>0.94144543465582842</v>
      </c>
      <c r="AV51" s="25">
        <f t="shared" si="8"/>
        <v>0.93846054997625927</v>
      </c>
      <c r="AW51" s="25">
        <f t="shared" si="8"/>
        <v>0.9371367690338761</v>
      </c>
      <c r="AX51" s="25">
        <f t="shared" si="8"/>
        <v>0.93812256874784772</v>
      </c>
      <c r="AY51" s="25">
        <f t="shared" si="8"/>
        <v>0.92826197319738091</v>
      </c>
      <c r="AZ51" s="25">
        <f t="shared" si="8"/>
        <v>0.92634184613859916</v>
      </c>
      <c r="BA51" s="25">
        <f t="shared" si="8"/>
        <v>0.94134036981580282</v>
      </c>
      <c r="BB51" s="25">
        <f t="shared" si="8"/>
        <v>0.94197928648314733</v>
      </c>
      <c r="BC51" s="25">
        <f t="shared" si="8"/>
        <v>0.92794332839814619</v>
      </c>
      <c r="BD51" s="25">
        <f t="shared" si="8"/>
        <v>0.92074382250025044</v>
      </c>
      <c r="BE51" s="25">
        <f t="shared" si="8"/>
        <v>0.93460988473160589</v>
      </c>
      <c r="BF51" s="25">
        <f t="shared" si="8"/>
        <v>0.92552271915783502</v>
      </c>
      <c r="BG51" s="25">
        <f t="shared" si="8"/>
        <v>0.94357390389850704</v>
      </c>
      <c r="BH51" s="25">
        <f t="shared" si="8"/>
        <v>0.9361577007728219</v>
      </c>
      <c r="BI51" s="25">
        <f t="shared" si="8"/>
        <v>0.94695139545138307</v>
      </c>
      <c r="BJ51" s="25">
        <f t="shared" si="8"/>
        <v>0.93454101959953384</v>
      </c>
      <c r="BK51" s="25">
        <f t="shared" si="8"/>
        <v>0.92546840378826012</v>
      </c>
    </row>
    <row r="52" spans="1:63" x14ac:dyDescent="0.3">
      <c r="A52" t="s">
        <v>51</v>
      </c>
      <c r="B52" s="33">
        <f>B13/B49</f>
        <v>0.30247475758659975</v>
      </c>
      <c r="C52" s="33">
        <f t="shared" ref="C52:BK52" si="9">C13/C49</f>
        <v>0.31419265988316142</v>
      </c>
      <c r="D52" s="33">
        <f t="shared" si="9"/>
        <v>0.29637135812537235</v>
      </c>
      <c r="E52" s="33">
        <f t="shared" si="9"/>
        <v>0.3522500828095686</v>
      </c>
      <c r="F52" s="33">
        <f t="shared" si="9"/>
        <v>0.33545957046009806</v>
      </c>
      <c r="G52" s="33">
        <f t="shared" si="9"/>
        <v>0.27386041266813199</v>
      </c>
      <c r="H52" s="33">
        <f t="shared" si="9"/>
        <v>0.28887895912508049</v>
      </c>
      <c r="I52" s="33">
        <f t="shared" si="9"/>
        <v>0.29417107346623494</v>
      </c>
      <c r="J52" s="33">
        <f t="shared" si="9"/>
        <v>0.34652767326970918</v>
      </c>
      <c r="K52" s="33">
        <f t="shared" si="9"/>
        <v>0.32849326305280996</v>
      </c>
      <c r="L52" s="33">
        <f t="shared" si="9"/>
        <v>0.2871079658144936</v>
      </c>
      <c r="M52" s="33">
        <f t="shared" si="9"/>
        <v>0.34421622666282736</v>
      </c>
      <c r="N52" s="33">
        <f t="shared" si="9"/>
        <v>0.29656710278332027</v>
      </c>
      <c r="O52" s="33">
        <f t="shared" si="9"/>
        <v>0.35990513920098877</v>
      </c>
      <c r="P52" s="33">
        <f t="shared" si="9"/>
        <v>0.29102697779771958</v>
      </c>
      <c r="Q52" s="33">
        <f t="shared" si="9"/>
        <v>0.3679509338588251</v>
      </c>
      <c r="R52" s="33">
        <f t="shared" si="9"/>
        <v>0.36745727723761246</v>
      </c>
      <c r="S52" s="33">
        <f t="shared" si="9"/>
        <v>0.29736192348070217</v>
      </c>
      <c r="T52" s="33">
        <f t="shared" si="9"/>
        <v>0.29699450030339919</v>
      </c>
      <c r="U52" s="33">
        <f t="shared" si="9"/>
        <v>0.29664256591191041</v>
      </c>
      <c r="V52" s="33">
        <f t="shared" si="9"/>
        <v>0.29744814850239132</v>
      </c>
      <c r="W52" s="33">
        <f t="shared" si="9"/>
        <v>0.28319238116054807</v>
      </c>
      <c r="X52" s="33">
        <f t="shared" si="9"/>
        <v>0.3415014650110631</v>
      </c>
      <c r="Y52" s="33">
        <f t="shared" si="9"/>
        <v>0.29962624141612448</v>
      </c>
      <c r="Z52" s="33">
        <f t="shared" si="9"/>
        <v>0.34704659541983562</v>
      </c>
      <c r="AA52" s="33">
        <f t="shared" si="9"/>
        <v>0.32250377021174409</v>
      </c>
      <c r="AB52" s="33">
        <f t="shared" si="9"/>
        <v>0.2835999920971945</v>
      </c>
      <c r="AC52" s="33">
        <f t="shared" si="9"/>
        <v>0.31748627763471177</v>
      </c>
      <c r="AD52" s="33">
        <f t="shared" si="9"/>
        <v>0.27856921756054215</v>
      </c>
      <c r="AE52" s="33">
        <f t="shared" si="9"/>
        <v>0.33662854914990997</v>
      </c>
      <c r="AF52" s="33">
        <f t="shared" si="9"/>
        <v>0.30288907299400414</v>
      </c>
      <c r="AG52" s="33">
        <f t="shared" si="9"/>
        <v>0.3299668807799141</v>
      </c>
      <c r="AH52" s="33">
        <f t="shared" si="9"/>
        <v>0.25867078091215634</v>
      </c>
      <c r="AI52" s="33">
        <f t="shared" si="9"/>
        <v>0.33230108335523878</v>
      </c>
      <c r="AJ52" s="33">
        <f t="shared" si="9"/>
        <v>0.29589201246673874</v>
      </c>
      <c r="AK52" s="33">
        <f t="shared" si="9"/>
        <v>0.32118179058848634</v>
      </c>
      <c r="AL52" s="33">
        <f t="shared" si="9"/>
        <v>0.32112788627248529</v>
      </c>
      <c r="AM52" s="33">
        <f t="shared" si="9"/>
        <v>0.36126368545297416</v>
      </c>
      <c r="AN52" s="33">
        <f t="shared" si="9"/>
        <v>0.26068244764233267</v>
      </c>
      <c r="AO52" s="33">
        <f t="shared" si="9"/>
        <v>0.29284155988315325</v>
      </c>
      <c r="AP52" s="33">
        <f t="shared" si="9"/>
        <v>0.34180072164729874</v>
      </c>
      <c r="AQ52" s="33">
        <f t="shared" si="9"/>
        <v>0.33659762497135065</v>
      </c>
      <c r="AR52" s="33">
        <f t="shared" si="9"/>
        <v>0.33847150623573086</v>
      </c>
      <c r="AS52" s="33">
        <f t="shared" si="9"/>
        <v>0.35923180463066445</v>
      </c>
      <c r="AT52" s="33">
        <f t="shared" si="9"/>
        <v>0.32197988371472025</v>
      </c>
      <c r="AU52" s="33">
        <f t="shared" si="9"/>
        <v>0.34413880752353893</v>
      </c>
      <c r="AV52" s="33">
        <f t="shared" si="9"/>
        <v>0.36828286383920056</v>
      </c>
      <c r="AW52" s="33">
        <f t="shared" si="9"/>
        <v>0.32034303530572017</v>
      </c>
      <c r="AX52" s="33">
        <f t="shared" si="9"/>
        <v>0.28624858158052363</v>
      </c>
      <c r="AY52" s="33">
        <f t="shared" si="9"/>
        <v>0.3107833176372462</v>
      </c>
      <c r="AZ52" s="33">
        <f t="shared" si="9"/>
        <v>0.36240354394478724</v>
      </c>
      <c r="BA52" s="33">
        <f t="shared" si="9"/>
        <v>0.3154421701507763</v>
      </c>
      <c r="BB52" s="33">
        <f t="shared" si="9"/>
        <v>0.31674362827201519</v>
      </c>
      <c r="BC52" s="33">
        <f t="shared" si="9"/>
        <v>0.31539067583602354</v>
      </c>
      <c r="BD52" s="33">
        <f t="shared" si="9"/>
        <v>0.33373350695109216</v>
      </c>
      <c r="BE52" s="33">
        <f t="shared" si="9"/>
        <v>0.30246143183795865</v>
      </c>
      <c r="BF52" s="33">
        <f t="shared" si="9"/>
        <v>0.37400200149203694</v>
      </c>
      <c r="BG52" s="33">
        <f t="shared" si="9"/>
        <v>0.30433013633756079</v>
      </c>
      <c r="BH52" s="33">
        <f t="shared" si="9"/>
        <v>0.35734558396590077</v>
      </c>
      <c r="BI52" s="33">
        <f t="shared" si="9"/>
        <v>0.31212966146154186</v>
      </c>
      <c r="BJ52" s="33">
        <f t="shared" si="9"/>
        <v>0.30135173304737589</v>
      </c>
      <c r="BK52" s="33">
        <f t="shared" si="9"/>
        <v>0.36388971827823213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9784-8E0A-49E5-B47F-56F3E8EDADFC}">
  <dimension ref="A1:E52"/>
  <sheetViews>
    <sheetView tabSelected="1" topLeftCell="A31" workbookViewId="0">
      <selection activeCell="A53" sqref="A53"/>
    </sheetView>
  </sheetViews>
  <sheetFormatPr defaultRowHeight="14.4" x14ac:dyDescent="0.3"/>
  <cols>
    <col min="1" max="1" width="39.33203125" customWidth="1"/>
  </cols>
  <sheetData>
    <row r="1" spans="1:4" x14ac:dyDescent="0.3">
      <c r="A1" s="1" t="s">
        <v>0</v>
      </c>
      <c r="B1" s="6" t="s">
        <v>1</v>
      </c>
      <c r="C1" s="7" t="s">
        <v>2</v>
      </c>
      <c r="D1" s="8" t="s">
        <v>3</v>
      </c>
    </row>
    <row r="2" spans="1:4" x14ac:dyDescent="0.3">
      <c r="A2" t="s">
        <v>4</v>
      </c>
      <c r="B2" s="12">
        <f>MIN(pypsa!B2:BK2)</f>
        <v>0</v>
      </c>
      <c r="C2" s="10">
        <f>AVERAGE(pypsa!B2:BK2)</f>
        <v>0.15806451612903227</v>
      </c>
      <c r="D2" s="11">
        <f>MAX(pypsa!B2:BK2)</f>
        <v>1</v>
      </c>
    </row>
    <row r="3" spans="1:4" x14ac:dyDescent="0.3">
      <c r="A3" t="s">
        <v>5</v>
      </c>
      <c r="B3" s="12">
        <f>MIN(pypsa!B3:BK3)</f>
        <v>8.1999999999999993</v>
      </c>
      <c r="C3" s="10">
        <f>AVERAGE(pypsa!B3:BK3)</f>
        <v>35.843548387096767</v>
      </c>
      <c r="D3" s="11">
        <f>MAX(pypsa!B3:BK3)</f>
        <v>84.9</v>
      </c>
    </row>
    <row r="4" spans="1:4" x14ac:dyDescent="0.3">
      <c r="A4" t="s">
        <v>6</v>
      </c>
      <c r="B4" s="12">
        <f>MIN(pypsa!B4:BK4)</f>
        <v>0.2</v>
      </c>
      <c r="C4" s="10">
        <f>AVERAGE(pypsa!B4:BK4)</f>
        <v>11.929032258064517</v>
      </c>
      <c r="D4" s="11">
        <f>MAX(pypsa!B4:BK4)</f>
        <v>63.9</v>
      </c>
    </row>
    <row r="5" spans="1:4" x14ac:dyDescent="0.3">
      <c r="A5" t="s">
        <v>7</v>
      </c>
      <c r="B5" s="12">
        <f>MIN(pypsa!B5:BK5)</f>
        <v>7.1</v>
      </c>
      <c r="C5" s="10">
        <f>AVERAGE(pypsa!B5:BK5)</f>
        <v>17.117741935483863</v>
      </c>
      <c r="D5" s="11">
        <f>MAX(pypsa!B5:BK5)</f>
        <v>41.5</v>
      </c>
    </row>
    <row r="6" spans="1:4" x14ac:dyDescent="0.3">
      <c r="A6" t="s">
        <v>8</v>
      </c>
      <c r="B6" s="12">
        <f>MIN(pypsa!B6:BK6)</f>
        <v>107.7</v>
      </c>
      <c r="C6" s="10">
        <f>AVERAGE(pypsa!B6:BK6)</f>
        <v>144.63548387096773</v>
      </c>
      <c r="D6" s="11">
        <f>MAX(pypsa!B6:BK6)</f>
        <v>185.4</v>
      </c>
    </row>
    <row r="7" spans="1:4" x14ac:dyDescent="0.3">
      <c r="A7" t="s">
        <v>9</v>
      </c>
      <c r="B7" s="12">
        <f>MIN(pypsa!B7:BK7)</f>
        <v>0</v>
      </c>
      <c r="C7" s="10">
        <f>AVERAGE(pypsa!B7:BK7)</f>
        <v>12.467741935483868</v>
      </c>
      <c r="D7" s="11">
        <f>MAX(pypsa!B7:BK7)</f>
        <v>95.5</v>
      </c>
    </row>
    <row r="8" spans="1:4" x14ac:dyDescent="0.3">
      <c r="A8" t="s">
        <v>10</v>
      </c>
      <c r="B8" s="12">
        <f>MIN(pypsa!B8:BK8)</f>
        <v>0</v>
      </c>
      <c r="C8" s="10">
        <f>AVERAGE(pypsa!B8:BK8)</f>
        <v>0</v>
      </c>
      <c r="D8" s="11">
        <f>MAX(pypsa!B8:BK8)</f>
        <v>0</v>
      </c>
    </row>
    <row r="9" spans="1:4" x14ac:dyDescent="0.3">
      <c r="A9" t="s">
        <v>11</v>
      </c>
      <c r="B9" s="12">
        <f>MIN(pypsa!B9:BK9)</f>
        <v>0</v>
      </c>
      <c r="C9" s="10">
        <f>AVERAGE(pypsa!B9:BK9)</f>
        <v>0</v>
      </c>
      <c r="D9" s="11">
        <f>MAX(pypsa!B9:BK9)</f>
        <v>0</v>
      </c>
    </row>
    <row r="10" spans="1:4" x14ac:dyDescent="0.3">
      <c r="A10" t="s">
        <v>12</v>
      </c>
      <c r="B10" s="12">
        <f>MIN(pypsa!B10:BK10)</f>
        <v>1664.4</v>
      </c>
      <c r="C10" s="10">
        <f>AVERAGE(pypsa!B10:BK10)</f>
        <v>1916.8064516129034</v>
      </c>
      <c r="D10" s="11">
        <f>MAX(pypsa!B10:BK10)</f>
        <v>2206.8000000000002</v>
      </c>
    </row>
    <row r="11" spans="1:4" x14ac:dyDescent="0.3">
      <c r="A11" t="s">
        <v>13</v>
      </c>
      <c r="B11" s="12">
        <f>MIN(pypsa!B11:BK11)</f>
        <v>101.1</v>
      </c>
      <c r="C11" s="10">
        <f>AVERAGE(pypsa!B11:BK11)</f>
        <v>101.10000000000008</v>
      </c>
      <c r="D11" s="11">
        <f>MAX(pypsa!B11:BK11)</f>
        <v>101.1</v>
      </c>
    </row>
    <row r="12" spans="1:4" x14ac:dyDescent="0.3">
      <c r="A12" t="s">
        <v>14</v>
      </c>
      <c r="B12" s="12">
        <f>MIN(pypsa!B12:BK12)</f>
        <v>0.8</v>
      </c>
      <c r="C12" s="10">
        <f>AVERAGE(pypsa!B12:BK12)</f>
        <v>0.79999999999999927</v>
      </c>
      <c r="D12" s="11">
        <f>MAX(pypsa!B12:BK12)</f>
        <v>0.8</v>
      </c>
    </row>
    <row r="13" spans="1:4" x14ac:dyDescent="0.3">
      <c r="A13" t="s">
        <v>15</v>
      </c>
      <c r="B13" s="12">
        <f>MIN(pypsa!B13:BK13)</f>
        <v>2593.4</v>
      </c>
      <c r="C13" s="10">
        <f>AVERAGE(pypsa!B13:BK13)</f>
        <v>3191.8096774193555</v>
      </c>
      <c r="D13" s="11">
        <f>MAX(pypsa!B13:BK13)</f>
        <v>3718.1</v>
      </c>
    </row>
    <row r="14" spans="1:4" x14ac:dyDescent="0.3">
      <c r="A14" t="s">
        <v>16</v>
      </c>
      <c r="B14" s="12">
        <f>MIN(pypsa!B14:BK14)</f>
        <v>504.2</v>
      </c>
      <c r="C14" s="10">
        <f>AVERAGE(pypsa!B14:BK14)</f>
        <v>508.70967741935533</v>
      </c>
      <c r="D14" s="11">
        <f>MAX(pypsa!B14:BK14)</f>
        <v>508.9</v>
      </c>
    </row>
    <row r="15" spans="1:4" x14ac:dyDescent="0.3">
      <c r="A15" t="s">
        <v>17</v>
      </c>
      <c r="B15" s="12">
        <f>MIN(pypsa!B15:BK15)</f>
        <v>72</v>
      </c>
      <c r="C15" s="10">
        <f>AVERAGE(pypsa!B15:BK15)</f>
        <v>101.341935483871</v>
      </c>
      <c r="D15" s="11">
        <f>MAX(pypsa!B15:BK15)</f>
        <v>151.9</v>
      </c>
    </row>
    <row r="16" spans="1:4" x14ac:dyDescent="0.3">
      <c r="A16" t="s">
        <v>18</v>
      </c>
      <c r="B16" s="12">
        <f>MIN(pypsa!B16:BK16)</f>
        <v>0</v>
      </c>
      <c r="C16" s="10">
        <f>AVERAGE(pypsa!B16:BK16)</f>
        <v>2.2580645161290321E-2</v>
      </c>
      <c r="D16" s="11">
        <f>MAX(pypsa!B16:BK16)</f>
        <v>1.4</v>
      </c>
    </row>
    <row r="17" spans="1:4" x14ac:dyDescent="0.3">
      <c r="A17" t="s">
        <v>19</v>
      </c>
      <c r="B17" s="12">
        <f>MIN(pypsa!B17:BK17)</f>
        <v>0</v>
      </c>
      <c r="C17" s="10">
        <f>AVERAGE(pypsa!B17:BK17)</f>
        <v>0</v>
      </c>
      <c r="D17" s="11">
        <f>MAX(pypsa!B17:BK17)</f>
        <v>0</v>
      </c>
    </row>
    <row r="18" spans="1:4" x14ac:dyDescent="0.3">
      <c r="A18" t="s">
        <v>20</v>
      </c>
      <c r="B18" s="12">
        <f>MIN(pypsa!B18:BK18)</f>
        <v>11.5</v>
      </c>
      <c r="C18" s="10">
        <f>AVERAGE(pypsa!B18:BK18)</f>
        <v>15.109677419354838</v>
      </c>
      <c r="D18" s="11">
        <f>MAX(pypsa!B18:BK18)</f>
        <v>19.2</v>
      </c>
    </row>
    <row r="19" spans="1:4" x14ac:dyDescent="0.3">
      <c r="B19" s="12"/>
      <c r="C19" s="10"/>
      <c r="D19" s="11"/>
    </row>
    <row r="20" spans="1:4" x14ac:dyDescent="0.3">
      <c r="A20" s="3" t="s">
        <v>21</v>
      </c>
      <c r="B20" s="13">
        <f>MIN(pypsa!B20:BK20)</f>
        <v>2154.6</v>
      </c>
      <c r="C20" s="14">
        <f>AVERAGE(pypsa!B20:BK20)</f>
        <v>2154.6000000000026</v>
      </c>
      <c r="D20" s="15">
        <f>MAX(pypsa!B20:BK20)</f>
        <v>2154.6</v>
      </c>
    </row>
    <row r="21" spans="1:4" x14ac:dyDescent="0.3">
      <c r="A21" s="3" t="s">
        <v>22</v>
      </c>
      <c r="B21" s="13">
        <f>MIN(pypsa!B21:BK21)</f>
        <v>168.6</v>
      </c>
      <c r="C21" s="14">
        <f>AVERAGE(pypsa!B21:BK21)</f>
        <v>251.78387096774185</v>
      </c>
      <c r="D21" s="15">
        <f>MAX(pypsa!B21:BK21)</f>
        <v>322.5</v>
      </c>
    </row>
    <row r="22" spans="1:4" x14ac:dyDescent="0.3">
      <c r="A22" s="3" t="s">
        <v>23</v>
      </c>
      <c r="B22" s="13">
        <f>MIN(pypsa!B22:BK22)</f>
        <v>0</v>
      </c>
      <c r="C22" s="14">
        <f>AVERAGE(pypsa!B22:BK22)</f>
        <v>0</v>
      </c>
      <c r="D22" s="15">
        <f>MAX(pypsa!B22:BK22)</f>
        <v>0</v>
      </c>
    </row>
    <row r="23" spans="1:4" x14ac:dyDescent="0.3">
      <c r="A23" s="3" t="s">
        <v>24</v>
      </c>
      <c r="B23" s="13">
        <f>MIN(pypsa!B23:BK23)</f>
        <v>785.9</v>
      </c>
      <c r="C23" s="14">
        <f>AVERAGE(pypsa!B23:BK23)</f>
        <v>847.56451612903277</v>
      </c>
      <c r="D23" s="15">
        <f>MAX(pypsa!B23:BK23)</f>
        <v>922.2</v>
      </c>
    </row>
    <row r="24" spans="1:4" x14ac:dyDescent="0.3">
      <c r="A24" s="3" t="s">
        <v>25</v>
      </c>
      <c r="B24" s="13">
        <f>MIN(pypsa!B24:BK24)</f>
        <v>0</v>
      </c>
      <c r="C24" s="14">
        <f>AVERAGE(pypsa!B24:BK24)</f>
        <v>13.743548387096771</v>
      </c>
      <c r="D24" s="15">
        <f>MAX(pypsa!B24:BK24)</f>
        <v>34.9</v>
      </c>
    </row>
    <row r="25" spans="1:4" x14ac:dyDescent="0.3">
      <c r="A25" s="3" t="s">
        <v>26</v>
      </c>
      <c r="B25" s="13">
        <f>MIN(pypsa!B25:BK25)</f>
        <v>67.900000000000006</v>
      </c>
      <c r="C25" s="14">
        <f>AVERAGE(pypsa!B25:BK25)</f>
        <v>81.974193548387078</v>
      </c>
      <c r="D25" s="15">
        <f>MAX(pypsa!B25:BK25)</f>
        <v>104.8</v>
      </c>
    </row>
    <row r="26" spans="1:4" x14ac:dyDescent="0.3">
      <c r="A26" s="3" t="s">
        <v>27</v>
      </c>
      <c r="B26" s="13">
        <f>MIN(pypsa!B26:BK26)</f>
        <v>57.9</v>
      </c>
      <c r="C26" s="14">
        <f>AVERAGE(pypsa!B26:BK26)</f>
        <v>70.972580645161273</v>
      </c>
      <c r="D26" s="15">
        <f>MAX(pypsa!B26:BK26)</f>
        <v>90.5</v>
      </c>
    </row>
    <row r="27" spans="1:4" x14ac:dyDescent="0.3">
      <c r="A27" s="3" t="s">
        <v>28</v>
      </c>
      <c r="B27" s="13">
        <f>MIN(pypsa!B27:BK27)</f>
        <v>77.900000000000006</v>
      </c>
      <c r="C27" s="14">
        <f>AVERAGE(pypsa!B27:BK27)</f>
        <v>101.98870967741939</v>
      </c>
      <c r="D27" s="15">
        <f>MAX(pypsa!B27:BK27)</f>
        <v>130.19999999999999</v>
      </c>
    </row>
    <row r="28" spans="1:4" x14ac:dyDescent="0.3">
      <c r="A28" s="3" t="s">
        <v>29</v>
      </c>
      <c r="B28" s="13">
        <f>MIN(pypsa!B28:BK28)</f>
        <v>64.599999999999994</v>
      </c>
      <c r="C28" s="14">
        <f>AVERAGE(pypsa!B28:BK28)</f>
        <v>80.996774193548376</v>
      </c>
      <c r="D28" s="15">
        <f>MAX(pypsa!B28:BK28)</f>
        <v>97.2</v>
      </c>
    </row>
    <row r="29" spans="1:4" x14ac:dyDescent="0.3">
      <c r="A29" s="3" t="s">
        <v>30</v>
      </c>
      <c r="B29" s="13">
        <f>MIN(pypsa!B29:BK29)</f>
        <v>29.7</v>
      </c>
      <c r="C29" s="14">
        <f>AVERAGE(pypsa!B29:BK29)</f>
        <v>37.809677419354848</v>
      </c>
      <c r="D29" s="15">
        <f>MAX(pypsa!B29:BK29)</f>
        <v>49.7</v>
      </c>
    </row>
    <row r="30" spans="1:4" x14ac:dyDescent="0.3">
      <c r="A30" s="3" t="s">
        <v>31</v>
      </c>
      <c r="B30" s="13">
        <f>MIN(pypsa!B30:BK30)</f>
        <v>26.5</v>
      </c>
      <c r="C30" s="14">
        <f>AVERAGE(pypsa!B30:BK30)</f>
        <v>34.093548387096774</v>
      </c>
      <c r="D30" s="15">
        <f>MAX(pypsa!B30:BK30)</f>
        <v>44.5</v>
      </c>
    </row>
    <row r="31" spans="1:4" x14ac:dyDescent="0.3">
      <c r="A31" s="3" t="s">
        <v>32</v>
      </c>
      <c r="B31" s="13">
        <f>MIN(pypsa!B31:BK31)</f>
        <v>38.1</v>
      </c>
      <c r="C31" s="14">
        <f>AVERAGE(pypsa!B31:BK31)</f>
        <v>48.075806451612898</v>
      </c>
      <c r="D31" s="15">
        <f>MAX(pypsa!B31:BK31)</f>
        <v>59.7</v>
      </c>
    </row>
    <row r="32" spans="1:4" x14ac:dyDescent="0.3">
      <c r="A32" s="3" t="s">
        <v>33</v>
      </c>
      <c r="B32" s="13">
        <f>MIN(pypsa!B32:BK32)</f>
        <v>29</v>
      </c>
      <c r="C32" s="14">
        <f>AVERAGE(pypsa!B32:BK32)</f>
        <v>36.11451612903226</v>
      </c>
      <c r="D32" s="15">
        <f>MAX(pypsa!B32:BK32)</f>
        <v>42.6</v>
      </c>
    </row>
    <row r="33" spans="1:5" x14ac:dyDescent="0.3">
      <c r="A33" s="3" t="s">
        <v>34</v>
      </c>
      <c r="B33" s="13">
        <f>MIN(pypsa!B33:BK33)</f>
        <v>328.4</v>
      </c>
      <c r="C33" s="14">
        <f>AVERAGE(pypsa!B33:BK33)</f>
        <v>435.4725806451612</v>
      </c>
      <c r="D33" s="15">
        <f>MAX(pypsa!B33:BK33)</f>
        <v>556.20000000000005</v>
      </c>
    </row>
    <row r="34" spans="1:5" x14ac:dyDescent="0.3">
      <c r="A34" s="3" t="s">
        <v>35</v>
      </c>
      <c r="B34" s="13">
        <f>MIN(pypsa!B34:BK34)</f>
        <v>355.4</v>
      </c>
      <c r="C34" s="14">
        <f>AVERAGE(pypsa!B34:BK34)</f>
        <v>469.9387096774193</v>
      </c>
      <c r="D34" s="15">
        <f>MAX(pypsa!B34:BK34)</f>
        <v>601</v>
      </c>
    </row>
    <row r="35" spans="1:5" x14ac:dyDescent="0.3">
      <c r="A35" s="3" t="s">
        <v>36</v>
      </c>
      <c r="B35" s="13">
        <f>MIN(pypsa!B35:BK35)</f>
        <v>54.3</v>
      </c>
      <c r="C35" s="14">
        <f>AVERAGE(pypsa!B35:BK35)</f>
        <v>54.300000000000047</v>
      </c>
      <c r="D35" s="15">
        <f>MAX(pypsa!B35:BK35)</f>
        <v>54.3</v>
      </c>
    </row>
    <row r="36" spans="1:5" x14ac:dyDescent="0.3">
      <c r="B36" s="12"/>
      <c r="C36" s="10"/>
      <c r="D36" s="11"/>
    </row>
    <row r="37" spans="1:5" x14ac:dyDescent="0.3">
      <c r="A37" s="4" t="s">
        <v>37</v>
      </c>
      <c r="B37" s="16">
        <f>MIN(pypsa!B37:BK37)</f>
        <v>5474.5</v>
      </c>
      <c r="C37" s="17">
        <f>AVERAGE(pypsa!B37:BK37)</f>
        <v>6057.851612903225</v>
      </c>
      <c r="D37" s="18">
        <f>MAX(pypsa!B37:BK37)</f>
        <v>6824.9999999999991</v>
      </c>
    </row>
    <row r="38" spans="1:5" x14ac:dyDescent="0.3">
      <c r="A38" s="4" t="s">
        <v>38</v>
      </c>
      <c r="B38" s="16">
        <f>MIN(pypsa!B38:BK38)</f>
        <v>5226.5</v>
      </c>
      <c r="C38" s="17">
        <f>AVERAGE(pypsa!B38:BK38)</f>
        <v>5779.0790322580669</v>
      </c>
      <c r="D38" s="18">
        <f>MAX(pypsa!B38:BK38)</f>
        <v>6549.4</v>
      </c>
    </row>
    <row r="39" spans="1:5" x14ac:dyDescent="0.3">
      <c r="A39" s="4" t="s">
        <v>39</v>
      </c>
      <c r="B39" s="16">
        <f>MIN(pypsa!B39:BK39)</f>
        <v>222.89999999999998</v>
      </c>
      <c r="C39" s="17">
        <f>AVERAGE(pypsa!B39:BK39)</f>
        <v>306.08387096774192</v>
      </c>
      <c r="D39" s="18">
        <f>MAX(pypsa!B39:BK39)</f>
        <v>376.8</v>
      </c>
    </row>
    <row r="40" spans="1:5" x14ac:dyDescent="0.3">
      <c r="B40" s="12"/>
      <c r="C40" s="10"/>
      <c r="D40" s="11"/>
    </row>
    <row r="41" spans="1:5" x14ac:dyDescent="0.3">
      <c r="A41" s="2" t="s">
        <v>40</v>
      </c>
      <c r="B41" s="19">
        <f>MIN(pypsa!B41:BK41)</f>
        <v>3.6594835954183655E-2</v>
      </c>
      <c r="C41" s="20">
        <f>AVERAGE(pypsa!B41:BK41)</f>
        <v>5.056748744597208E-2</v>
      </c>
      <c r="D41" s="21">
        <f>MAX(pypsa!B41:BK41)</f>
        <v>6.2435224499348067E-2</v>
      </c>
    </row>
    <row r="42" spans="1:5" x14ac:dyDescent="0.3">
      <c r="A42" s="2" t="s">
        <v>44</v>
      </c>
      <c r="B42" s="19">
        <f>MIN(pypsa!B42:BK42)</f>
        <v>0.31569230769230772</v>
      </c>
      <c r="C42" s="20">
        <f>AVERAGE(pypsa!B42:BK42)</f>
        <v>0.35644154435249148</v>
      </c>
      <c r="D42" s="21">
        <f>MAX(pypsa!B42:BK42)</f>
        <v>0.3935701890583615</v>
      </c>
    </row>
    <row r="43" spans="1:5" x14ac:dyDescent="0.3">
      <c r="A43" s="2" t="s">
        <v>42</v>
      </c>
      <c r="B43" s="19">
        <f>MIN(pypsa!B43:BK43)</f>
        <v>0.12591941391941394</v>
      </c>
      <c r="C43" s="20">
        <f>AVERAGE(pypsa!B43:BK43)</f>
        <v>0.14008333937867903</v>
      </c>
      <c r="D43" s="21">
        <f>MAX(pypsa!B43:BK43)</f>
        <v>0.14964852276438134</v>
      </c>
    </row>
    <row r="44" spans="1:5" x14ac:dyDescent="0.3">
      <c r="A44" s="2" t="s">
        <v>43</v>
      </c>
      <c r="B44" s="19">
        <f>MIN(pypsa!B44:BK44)</f>
        <v>0.93785879247773019</v>
      </c>
      <c r="C44" s="20">
        <f>AVERAGE(pypsa!B44:BK44)</f>
        <v>0.95392809632691111</v>
      </c>
      <c r="D44" s="21">
        <f>MAX(pypsa!B44:BK44)</f>
        <v>0.96036916395222571</v>
      </c>
    </row>
    <row r="46" spans="1:5" x14ac:dyDescent="0.3">
      <c r="A46" s="22" t="s">
        <v>45</v>
      </c>
      <c r="B46" s="16">
        <f>MIN(pypsa!B46:BK46)</f>
        <v>6637.4681258846604</v>
      </c>
      <c r="C46" s="17">
        <f>AVERAGE(pypsa!B46:BK46)</f>
        <v>7039.0255189215413</v>
      </c>
      <c r="D46" s="18">
        <f>MAX(pypsa!B46:BK46)</f>
        <v>7467.9418338710102</v>
      </c>
    </row>
    <row r="47" spans="1:5" x14ac:dyDescent="0.3">
      <c r="A47" s="22" t="s">
        <v>46</v>
      </c>
      <c r="B47" s="26">
        <f>MIN(pypsa!B47:BK47)</f>
        <v>2.3996135169068247E-2</v>
      </c>
      <c r="C47" s="27">
        <f>AVERAGE(pypsa!B47:BK47)</f>
        <v>3.5772721638533587E-2</v>
      </c>
      <c r="D47" s="28">
        <f>MAX(pypsa!B47:BK47)</f>
        <v>4.7061575329491311E-2</v>
      </c>
      <c r="E47" s="32">
        <f>MEDIAN(pypsa!B47:BK47)</f>
        <v>3.4549444589662637E-2</v>
      </c>
    </row>
    <row r="49" spans="1:5" x14ac:dyDescent="0.3">
      <c r="A49" t="s">
        <v>48</v>
      </c>
      <c r="B49" s="29">
        <f>MIN(pypsa!B49:BK49)</f>
        <v>9684.9729879645292</v>
      </c>
      <c r="C49" s="30">
        <f>AVERAGE(pypsa!B49:BK49)</f>
        <v>9989.937409489241</v>
      </c>
      <c r="D49" s="31">
        <f>MAX(pypsa!B49:BK49)</f>
        <v>10326.104152743335</v>
      </c>
    </row>
    <row r="50" spans="1:5" x14ac:dyDescent="0.3">
      <c r="A50" t="s">
        <v>49</v>
      </c>
      <c r="B50" s="29">
        <f>MIN(pypsa!B50:BK50)</f>
        <v>8854.6100421073024</v>
      </c>
      <c r="C50" s="30">
        <f>AVERAGE(pypsa!B50:BK50)</f>
        <v>9319.1806352659896</v>
      </c>
      <c r="D50" s="31">
        <f>MAX(pypsa!B50:BK50)</f>
        <v>9564.234902819635</v>
      </c>
    </row>
    <row r="51" spans="1:5" x14ac:dyDescent="0.3">
      <c r="A51" t="s">
        <v>50</v>
      </c>
      <c r="B51" s="19">
        <f>MIN(pypsa!B51:BK51)</f>
        <v>0.89064782474014925</v>
      </c>
      <c r="C51" s="20">
        <f>AVERAGE(pypsa!B51:BK51)</f>
        <v>0.9328793395772802</v>
      </c>
      <c r="D51" s="21">
        <f>MAX(pypsa!B51:BK51)</f>
        <v>0.94695139545138307</v>
      </c>
      <c r="E51" s="32">
        <f>MEDIAN(pypsa!B51:BK51)</f>
        <v>0.934480326573353</v>
      </c>
    </row>
    <row r="52" spans="1:5" x14ac:dyDescent="0.3">
      <c r="A52" t="s">
        <v>51</v>
      </c>
      <c r="B52" s="19">
        <f>MIN(pypsa!B52:BK52)</f>
        <v>0.25867078091215634</v>
      </c>
      <c r="C52" s="20">
        <f>AVERAGE(pypsa!B52:BK52)</f>
        <v>0.31950697097857123</v>
      </c>
      <c r="D52" s="21">
        <f>MAX(pypsa!B52:BK52)</f>
        <v>0.37400200149203694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pypsa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Zakeri, Behnam</cp:lastModifiedBy>
  <dcterms:created xsi:type="dcterms:W3CDTF">2026-01-21T17:36:08Z</dcterms:created>
  <dcterms:modified xsi:type="dcterms:W3CDTF">2026-06-14T19:32:04Z</dcterms:modified>
</cp:coreProperties>
</file>